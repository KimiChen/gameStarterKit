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1_#用户ID及公共事件属性"/>
    <sheet r:id="rId2" sheetId="2" name="2_#事件数据"/>
    <sheet r:id="rId3" sheetId="3" name="3_#用户数据"/>
    <sheet r:id="rId4" sheetId="4" name="4_#客户端埋点"/>
    <sheet r:id="rId5" sheetId="5" name="接入参数"/>
  </sheets>
  <calcPr fullCalcOnLoad="1"/>
</workbook>
</file>

<file path=xl/sharedStrings.xml><?xml version="1.0" encoding="utf-8"?>
<sst xmlns="http://schemas.openxmlformats.org/spreadsheetml/2006/main" count="2842" uniqueCount="1496">
  <si>
    <t>appid</t>
  </si>
  <si>
    <t>接入测试</t>
  </si>
  <si>
    <t>3e05c860c35540a0a14ff42608688893</t>
  </si>
  <si>
    <t>线上</t>
  </si>
  <si>
    <t>53c3079e47cf4e9c877319008b183620</t>
  </si>
  <si>
    <t>url</t>
  </si>
  <si>
    <t>国内客户端上报</t>
  </si>
  <si>
    <t>ta-cn-front.xmpaoyou.com</t>
  </si>
  <si>
    <t>国内服务端上报</t>
  </si>
  <si>
    <t>ta-cn.xmpaoyou.com</t>
  </si>
  <si>
    <t>香港客户端上报</t>
  </si>
  <si>
    <r>
      <t/>
    </r>
    <r>
      <rPr>
        <sz val="10"/>
        <color rgb="FF000000"/>
        <rFont val="微软雅黑"/>
        <family val="2"/>
      </rPr>
      <t>ta-proxy-front-hk.xmpaoyou.com</t>
    </r>
  </si>
  <si>
    <t>香港服务端上报</t>
  </si>
  <si>
    <t>ta-proxy-hk.xmpaoyou.com</t>
  </si>
  <si>
    <r>
      <t/>
    </r>
    <r>
      <rPr>
        <b/>
        <sz val="22"/>
        <color rgb="FF000000"/>
        <rFont val="Microsoft YaHei"/>
        <family val="2"/>
      </rPr>
      <t>事件埋点</t>
    </r>
  </si>
  <si>
    <t>事件类型</t>
  </si>
  <si>
    <t>事件名称</t>
  </si>
  <si>
    <t>事件ID</t>
  </si>
  <si>
    <t>埋点说明</t>
  </si>
  <si>
    <t>优先级</t>
  </si>
  <si>
    <t>0
（客户端登录流程）</t>
  </si>
  <si>
    <t>游戏参数设置</t>
  </si>
  <si>
    <t>已处理</t>
  </si>
  <si>
    <t>游戏骨架初始化</t>
  </si>
  <si>
    <t>游戏骨架初始化成功</t>
  </si>
  <si>
    <t>游戏骨架初始化失败</t>
  </si>
  <si>
    <t>公共监听初始化</t>
  </si>
  <si>
    <t>公共监听初始化成功</t>
  </si>
  <si>
    <t>公共监听初始化失败</t>
  </si>
  <si>
    <t>获取SDK</t>
  </si>
  <si>
    <t>获取SDK成功</t>
  </si>
  <si>
    <t>获取SDK失败</t>
  </si>
  <si>
    <t>SDK是否已经登录账号</t>
  </si>
  <si>
    <t>发送bool值</t>
  </si>
  <si>
    <t>sdk内部处理</t>
  </si>
  <si>
    <t>SDK账号注册登录</t>
  </si>
  <si>
    <t>SDK账号登录成功</t>
  </si>
  <si>
    <t>SDK账号登录失败</t>
  </si>
  <si>
    <t>获取区服列表</t>
  </si>
  <si>
    <t>获取区服列表成功</t>
  </si>
  <si>
    <t>获取区服列表失败</t>
  </si>
  <si>
    <t>返回错误信息，例：封禁信息</t>
  </si>
  <si>
    <t>打开登陆界面</t>
  </si>
  <si>
    <t>打开登陆界面成功</t>
  </si>
  <si>
    <t>打开登陆界面失败</t>
  </si>
  <si>
    <t>游戏用户登录</t>
  </si>
  <si>
    <t>SDK登陆窗口 sdk那边处理</t>
  </si>
  <si>
    <t>游戏用户登录成功</t>
  </si>
  <si>
    <t>游戏用户登录失败</t>
  </si>
  <si>
    <t>点击创建角色</t>
  </si>
  <si>
    <t>创建角色成功</t>
  </si>
  <si>
    <t>创建角色失败</t>
  </si>
  <si>
    <t>玩家开始进入游戏</t>
  </si>
  <si>
    <t>玩家进入游戏成功</t>
  </si>
  <si>
    <t>玩家进入游戏失败</t>
  </si>
  <si>
    <t>更新配置</t>
  </si>
  <si>
    <t>更新配置成功</t>
  </si>
  <si>
    <t>更新配置失败</t>
  </si>
  <si>
    <t>获取系统数据</t>
  </si>
  <si>
    <t>获取系统数据成功</t>
  </si>
  <si>
    <t>获取系统数据失败</t>
  </si>
  <si>
    <t>系统数据初始化</t>
  </si>
  <si>
    <t>系统数据初始化成功</t>
  </si>
  <si>
    <t>红点初始化</t>
  </si>
  <si>
    <t>红点初始化成功</t>
  </si>
  <si>
    <t>红点初始化失败</t>
  </si>
  <si>
    <t>游戏界面加载</t>
  </si>
  <si>
    <t>游戏界面加载成功</t>
  </si>
  <si>
    <t>游戏界面加载失败</t>
  </si>
  <si>
    <t>世界场景加载</t>
  </si>
  <si>
    <t>神功2项目没有</t>
  </si>
  <si>
    <t>世界场景加载成功</t>
  </si>
  <si>
    <t>世界场景加载失败</t>
  </si>
  <si>
    <t>1
（系统入口）</t>
  </si>
  <si>
    <t>功法</t>
  </si>
  <si>
    <t>y</t>
  </si>
  <si>
    <t>装备</t>
  </si>
  <si>
    <t>法宝</t>
  </si>
  <si>
    <t>修炼</t>
  </si>
  <si>
    <t>历练</t>
  </si>
  <si>
    <t>妖盟</t>
  </si>
  <si>
    <t>聊天</t>
  </si>
  <si>
    <t>练功房伙伴</t>
  </si>
  <si>
    <t>首充</t>
  </si>
  <si>
    <t>冲榜</t>
  </si>
  <si>
    <t>斩心魔</t>
  </si>
  <si>
    <t>切换多人</t>
  </si>
  <si>
    <t>切换单人</t>
  </si>
  <si>
    <t>奇珍</t>
  </si>
  <si>
    <t>神通</t>
  </si>
  <si>
    <t>时装</t>
  </si>
  <si>
    <t>至宝</t>
  </si>
  <si>
    <t>装备历练</t>
  </si>
  <si>
    <t>功法历练</t>
  </si>
  <si>
    <t>法宝历练</t>
  </si>
  <si>
    <t>夔牛</t>
  </si>
  <si>
    <t>地图</t>
  </si>
  <si>
    <t>充值</t>
  </si>
  <si>
    <t>（元宝边的+号）</t>
  </si>
  <si>
    <t>山头砍价礼包</t>
  </si>
  <si>
    <t>广告相关点位</t>
  </si>
  <si>
    <t>【每日福利】首页主界面点击</t>
  </si>
  <si>
    <t>【每日福利】二级界面按钮点击</t>
  </si>
  <si>
    <t>【每日福利】广告播放完毕</t>
  </si>
  <si>
    <t>【精力领取】广告按钮出现</t>
  </si>
  <si>
    <t>【精力领取】广告按钮点击</t>
  </si>
  <si>
    <t>【精力领取】广告播放完毕</t>
  </si>
  <si>
    <t>【快速挂机】广告按钮出现</t>
  </si>
  <si>
    <t>【快速挂机】广告按钮点击</t>
  </si>
  <si>
    <t>【快速挂机】广告播放完毕</t>
  </si>
  <si>
    <t>【鏖战天庸】广告按钮出现</t>
  </si>
  <si>
    <t>跨服活动</t>
  </si>
  <si>
    <t>【鏖战天庸】广告按钮点击</t>
  </si>
  <si>
    <t>【鏖战天庸】广告播放完毕</t>
  </si>
  <si>
    <t>【铭文冲榜】广告按钮出现</t>
  </si>
  <si>
    <t>铭文-轮回殿</t>
  </si>
  <si>
    <t>【铭文冲榜】广告按钮点击</t>
  </si>
  <si>
    <t>【铭文冲榜】广告播放完毕</t>
  </si>
  <si>
    <t>【法宝冲榜】广告按钮出现</t>
  </si>
  <si>
    <t>法宝等级</t>
  </si>
  <si>
    <t>【法宝冲榜】广告按钮点击</t>
  </si>
  <si>
    <t>【法宝冲榜】广告播放完毕</t>
  </si>
  <si>
    <t>【元神冲榜】广告按钮出现</t>
  </si>
  <si>
    <t>元神等级</t>
  </si>
  <si>
    <t>【元神冲榜】广告按钮点击</t>
  </si>
  <si>
    <t>【元神冲榜】广告播放完毕</t>
  </si>
  <si>
    <t>【装备冲榜】广告按钮出现</t>
  </si>
  <si>
    <t>【装备冲榜】广告按钮点击</t>
  </si>
  <si>
    <t>【装备冲榜】广告播放完毕</t>
  </si>
  <si>
    <t>【炼器冲榜】广告按钮出现</t>
  </si>
  <si>
    <t>炼器-轮回殿</t>
  </si>
  <si>
    <t>【炼器冲榜】广告按钮点击</t>
  </si>
  <si>
    <t>【炼器冲榜】广告播放完毕</t>
  </si>
  <si>
    <t>【请神冲榜】广告按钮出现</t>
  </si>
  <si>
    <t>请神-轮回殿</t>
  </si>
  <si>
    <t>【请神冲榜】广告按钮点击</t>
  </si>
  <si>
    <t>【请神冲榜】广告播放完毕</t>
  </si>
  <si>
    <t>【角色冲榜】广告按钮出现</t>
  </si>
  <si>
    <t>角色等级</t>
  </si>
  <si>
    <t>【角色冲榜】广告按钮点击</t>
  </si>
  <si>
    <t>【角色冲榜】广告播放完毕</t>
  </si>
  <si>
    <t>【妖气掉落冲榜】广告按钮出现</t>
  </si>
  <si>
    <t>【妖气掉落冲榜】广告按钮点击</t>
  </si>
  <si>
    <t>【妖气掉落冲榜】广告开始完毕</t>
  </si>
  <si>
    <t>【灵气掉落冲榜】广告按钮出现</t>
  </si>
  <si>
    <t>【灵气掉落冲榜】广告按钮点击</t>
  </si>
  <si>
    <t>【灵气掉落冲榜】广告开始完毕</t>
  </si>
  <si>
    <t>【元神妖力冲榜】广告按钮出现</t>
  </si>
  <si>
    <t>【元神妖力冲榜】广告按钮点击</t>
  </si>
  <si>
    <t>【元神妖力冲榜】广告播放完毕</t>
  </si>
  <si>
    <t>【法宝妖力冲榜】广告按钮出现</t>
  </si>
  <si>
    <t>【法宝妖力冲榜】广告按钮点击</t>
  </si>
  <si>
    <t>【法宝妖力冲榜】广告播放完毕</t>
  </si>
  <si>
    <t>【装备妖力冲榜】广告按钮出现</t>
  </si>
  <si>
    <t>【装备妖力冲榜】广告按钮点击</t>
  </si>
  <si>
    <t>【装备妖力冲榜】广告播放完毕</t>
  </si>
  <si>
    <t>新手引导相关埋点</t>
  </si>
  <si>
    <t>开场引导1</t>
  </si>
  <si>
    <t>开场引导2</t>
  </si>
  <si>
    <t>开场引导3</t>
  </si>
  <si>
    <t>开场引导4</t>
  </si>
  <si>
    <t>开场引导5</t>
  </si>
  <si>
    <t>开场引导6</t>
  </si>
  <si>
    <t>开场引导7</t>
  </si>
  <si>
    <t>开场引导8</t>
  </si>
  <si>
    <t>开场引导10</t>
  </si>
  <si>
    <t>开场引导11</t>
  </si>
  <si>
    <t>开场引导12</t>
  </si>
  <si>
    <t>领取主线奖励1</t>
  </si>
  <si>
    <t>领取主线奖励2</t>
  </si>
  <si>
    <t>领取主线奖励3</t>
  </si>
  <si>
    <t>领取主线奖励4</t>
  </si>
  <si>
    <t>领取主线奖励5</t>
  </si>
  <si>
    <t>领取主线奖励6</t>
  </si>
  <si>
    <t>领取主线奖励7</t>
  </si>
  <si>
    <t>领取主线奖励8</t>
  </si>
  <si>
    <t>领取主线奖励9</t>
  </si>
  <si>
    <t>领取主线奖励10</t>
  </si>
  <si>
    <t>领取主线奖励11</t>
  </si>
  <si>
    <t>领取主线奖励12</t>
  </si>
  <si>
    <t>领取主线奖励13</t>
  </si>
  <si>
    <t>领取主线奖励14</t>
  </si>
  <si>
    <t>装备穿戴引导1</t>
  </si>
  <si>
    <t>装备穿戴引导2</t>
  </si>
  <si>
    <t>装备穿戴引导3</t>
  </si>
  <si>
    <t>装备穿戴引导4</t>
  </si>
  <si>
    <t>装备穿戴引导6</t>
  </si>
  <si>
    <t>装备穿戴引导7</t>
  </si>
  <si>
    <t>装备穿戴引导8</t>
  </si>
  <si>
    <t>装备穿戴引导9</t>
  </si>
  <si>
    <t>装备穿戴引导10</t>
  </si>
  <si>
    <t>装备穿戴引导11</t>
  </si>
  <si>
    <t>装备穿戴引导12</t>
  </si>
  <si>
    <t>装备穿戴引导13</t>
  </si>
  <si>
    <t>装备穿戴引导14</t>
  </si>
  <si>
    <t>装备穿戴引导15</t>
  </si>
  <si>
    <t>功法引导-战斗场景1</t>
  </si>
  <si>
    <t>功法引导-战斗场景2</t>
  </si>
  <si>
    <t>功法引导-战斗场景3</t>
  </si>
  <si>
    <t>功法引导-战斗场景4</t>
  </si>
  <si>
    <t>功法引导-战斗场景5</t>
  </si>
  <si>
    <t>功法引导-战斗场景6</t>
  </si>
  <si>
    <t>功法引导-战斗场景7</t>
  </si>
  <si>
    <t>功法引导-战斗场景8</t>
  </si>
  <si>
    <t>功法引导-战斗场景9</t>
  </si>
  <si>
    <t>斩心魔引导1</t>
  </si>
  <si>
    <t>斩心魔引导2</t>
  </si>
  <si>
    <t>斩心魔引导3</t>
  </si>
  <si>
    <t>斩心魔引导4</t>
  </si>
  <si>
    <t>斩心魔引导5</t>
  </si>
  <si>
    <t>斩心魔引导6</t>
  </si>
  <si>
    <t>斩心魔引导7</t>
  </si>
  <si>
    <t>斩心魔引导8</t>
  </si>
  <si>
    <t>伙伴升级1</t>
  </si>
  <si>
    <t>伙伴升级2</t>
  </si>
  <si>
    <t>伙伴升级3</t>
  </si>
  <si>
    <t>伙伴升级4</t>
  </si>
  <si>
    <t>伙伴升级5</t>
  </si>
  <si>
    <t>切换地图1</t>
  </si>
  <si>
    <t>切换地图2</t>
  </si>
  <si>
    <t>切换地图3</t>
  </si>
  <si>
    <t>切换地图4</t>
  </si>
  <si>
    <t>切换地图5</t>
  </si>
  <si>
    <t>离线奖励1</t>
  </si>
  <si>
    <t>离线奖励2</t>
  </si>
  <si>
    <t>离线奖励3</t>
  </si>
  <si>
    <t>离线奖励4</t>
  </si>
  <si>
    <t>离线奖励5</t>
  </si>
  <si>
    <t>离线奖励6</t>
  </si>
  <si>
    <t>离线奖励7</t>
  </si>
  <si>
    <t>渡劫-单人修炼界面触发1</t>
  </si>
  <si>
    <t>渡劫-单人修炼界面触发2</t>
  </si>
  <si>
    <t>渡劫-单人修炼界面触发3</t>
  </si>
  <si>
    <t>渡劫-单人修炼界面触发4</t>
  </si>
  <si>
    <t>渡劫-单人修炼界面触发5</t>
  </si>
  <si>
    <t>渡劫-单人修炼界面触发6</t>
  </si>
  <si>
    <t>渡劫-单人修炼界面触发7</t>
  </si>
  <si>
    <t>渡劫-单人修炼界面触发8</t>
  </si>
  <si>
    <t>渡劫-单人修炼界面触发9</t>
  </si>
  <si>
    <t>渡劫-单人修炼界面触发10</t>
  </si>
  <si>
    <t>渡劫-单人修炼界面触发11</t>
  </si>
  <si>
    <t>渡劫-多人修炼界面触发1</t>
  </si>
  <si>
    <t>渡劫-多人修炼界面触发2</t>
  </si>
  <si>
    <t>渡劫-多人修炼界面触发3</t>
  </si>
  <si>
    <t>渡劫-多人修炼界面触发4</t>
  </si>
  <si>
    <t>渡劫-多人修炼界面触发5</t>
  </si>
  <si>
    <t>渡劫-多人修炼界面触发6</t>
  </si>
  <si>
    <t>渡劫-多人修炼界面触发7</t>
  </si>
  <si>
    <t>渡劫-多人修炼界面触发8</t>
  </si>
  <si>
    <t>渡劫-多人修炼界面触发9</t>
  </si>
  <si>
    <t>渡劫-多人修炼界面触发10</t>
  </si>
  <si>
    <t>渡劫-多人修炼界面触发11</t>
  </si>
  <si>
    <t>法宝1</t>
  </si>
  <si>
    <t>法宝2</t>
  </si>
  <si>
    <t>法宝3</t>
  </si>
  <si>
    <t>法宝4</t>
  </si>
  <si>
    <t>法宝5</t>
  </si>
  <si>
    <t>法宝6</t>
  </si>
  <si>
    <t>法宝7</t>
  </si>
  <si>
    <t>法宝8</t>
  </si>
  <si>
    <t>法宝9</t>
  </si>
  <si>
    <t>法宝10</t>
  </si>
  <si>
    <t>法宝11</t>
  </si>
  <si>
    <t>法宝12</t>
  </si>
  <si>
    <t>法宝13</t>
  </si>
  <si>
    <t>法宝14</t>
  </si>
  <si>
    <t>法宝15</t>
  </si>
  <si>
    <t>法宝16</t>
  </si>
  <si>
    <t>法宝17</t>
  </si>
  <si>
    <t>法宝18</t>
  </si>
  <si>
    <t>法宝19</t>
  </si>
  <si>
    <t>法宝20</t>
  </si>
  <si>
    <t>法宝21</t>
  </si>
  <si>
    <t>法宝22</t>
  </si>
  <si>
    <t>法宝23</t>
  </si>
  <si>
    <t>法宝24</t>
  </si>
  <si>
    <t>法宝25</t>
  </si>
  <si>
    <t>法宝26</t>
  </si>
  <si>
    <t>法宝27</t>
  </si>
  <si>
    <t>法宝28</t>
  </si>
  <si>
    <t>法宝29</t>
  </si>
  <si>
    <t>法宝30</t>
  </si>
  <si>
    <t>法宝31</t>
  </si>
  <si>
    <t>历练引导-装备解锁1</t>
  </si>
  <si>
    <t>历练引导-装备解锁2</t>
  </si>
  <si>
    <t>历练引导-装备解锁3</t>
  </si>
  <si>
    <t>历练引导-装备解锁4</t>
  </si>
  <si>
    <t>历练引导-装备解锁5</t>
  </si>
  <si>
    <t>历练引导-装备解锁6</t>
  </si>
  <si>
    <t>历练引导-装备解锁7</t>
  </si>
  <si>
    <t>历练引导-装备解锁8</t>
  </si>
  <si>
    <t>历练引导-装备解锁9</t>
  </si>
  <si>
    <t>传送门引导1</t>
  </si>
  <si>
    <t>传送门引导2</t>
  </si>
  <si>
    <t>传送门引导4</t>
  </si>
  <si>
    <t>传送门引导5</t>
  </si>
  <si>
    <t>解锁妖术1</t>
  </si>
  <si>
    <t>解锁妖术2</t>
  </si>
  <si>
    <t>解锁妖术3</t>
  </si>
  <si>
    <t>解锁妖术4</t>
  </si>
  <si>
    <t>解锁妖术5</t>
  </si>
  <si>
    <t>解锁妖术6</t>
  </si>
  <si>
    <t>解锁妖术7</t>
  </si>
  <si>
    <t>解锁妖术8</t>
  </si>
  <si>
    <t>解锁妖术9</t>
  </si>
  <si>
    <t>解锁妖术10</t>
  </si>
  <si>
    <t>解锁妖术11</t>
  </si>
  <si>
    <t>宝石镶嵌1</t>
  </si>
  <si>
    <t>宝石镶嵌2</t>
  </si>
  <si>
    <t>宝石镶嵌3</t>
  </si>
  <si>
    <t>宝石镶嵌4</t>
  </si>
  <si>
    <t>宝石镶嵌5</t>
  </si>
  <si>
    <t>宝石镶嵌6</t>
  </si>
  <si>
    <t>宝石镶嵌7</t>
  </si>
  <si>
    <t>宝石镶嵌8</t>
  </si>
  <si>
    <t>宝石镶嵌9</t>
  </si>
  <si>
    <t>宝石镶嵌10</t>
  </si>
  <si>
    <t>宝石镶嵌11</t>
  </si>
  <si>
    <t>宝石镶嵌12</t>
  </si>
  <si>
    <t>宝石镶嵌13</t>
  </si>
  <si>
    <t>妖盟引导-单人修炼触发1</t>
  </si>
  <si>
    <t>妖盟引导-单人修炼触发2</t>
  </si>
  <si>
    <t>妖盟引导-单人修炼触发3</t>
  </si>
  <si>
    <t>妖盟引导-单人修炼触发4</t>
  </si>
  <si>
    <t>妖盟引导-单人修炼触发5</t>
  </si>
  <si>
    <t>妖盟引导-单人修炼触发6</t>
  </si>
  <si>
    <t>妖盟引导-单人修炼触发7</t>
  </si>
  <si>
    <t>妖盟引导-单人修炼触发8</t>
  </si>
  <si>
    <t>妖盟引导-单人修炼触发9</t>
  </si>
  <si>
    <t>妖盟引导-单人修炼触发10</t>
  </si>
  <si>
    <t>妖盟引导-多人战斗触发1</t>
  </si>
  <si>
    <t>妖盟引导-多人战斗触发2</t>
  </si>
  <si>
    <t>妖盟引导-多人战斗触发3</t>
  </si>
  <si>
    <t>妖盟引导-多人战斗触发4</t>
  </si>
  <si>
    <t>妖盟引导-多人战斗触发5</t>
  </si>
  <si>
    <t>妖盟引导-多人战斗触发6</t>
  </si>
  <si>
    <t>妖盟引导-多人战斗触发7</t>
  </si>
  <si>
    <t>妖盟引导-多人战斗触发8</t>
  </si>
  <si>
    <t>妖盟引导-多人战斗触发9</t>
  </si>
  <si>
    <t>妖盟引导-多人战斗触发10</t>
  </si>
  <si>
    <t>器灵引导1</t>
  </si>
  <si>
    <t>器灵引导2</t>
  </si>
  <si>
    <t>器灵引导3</t>
  </si>
  <si>
    <t>器灵引导5</t>
  </si>
  <si>
    <t>器灵引导6</t>
  </si>
  <si>
    <t>器灵引导7</t>
  </si>
  <si>
    <t>器灵引导8</t>
  </si>
  <si>
    <t>器灵引导9</t>
  </si>
  <si>
    <t>供奉引导1</t>
  </si>
  <si>
    <t>供奉引导2</t>
  </si>
  <si>
    <t>供奉引导3</t>
  </si>
  <si>
    <t>供奉引导4</t>
  </si>
  <si>
    <t>供奉引导5</t>
  </si>
  <si>
    <t>供奉引导6</t>
  </si>
  <si>
    <t>供奉引导7</t>
  </si>
  <si>
    <t>供奉引导8</t>
  </si>
  <si>
    <t>供奉引导9</t>
  </si>
  <si>
    <t>供奉引导10</t>
  </si>
  <si>
    <t>供奉引导11</t>
  </si>
  <si>
    <t>供奉引导12</t>
  </si>
  <si>
    <t>供奉引导13</t>
  </si>
  <si>
    <t>夔牛引导1</t>
  </si>
  <si>
    <t>夔牛引导2</t>
  </si>
  <si>
    <t>夔牛引导3</t>
  </si>
  <si>
    <t>夔牛引导4</t>
  </si>
  <si>
    <t>夔牛引导5</t>
  </si>
  <si>
    <t>夔牛引导6</t>
  </si>
  <si>
    <t>素萝引导1</t>
  </si>
  <si>
    <t>素萝引导2</t>
  </si>
  <si>
    <t>素萝引导3</t>
  </si>
  <si>
    <t>论道台引导-单人修炼触发1</t>
  </si>
  <si>
    <t>论道台引导-单人修炼触发2</t>
  </si>
  <si>
    <t>论道台引导-单人修炼触发3</t>
  </si>
  <si>
    <t>论道台引导-单人修炼触发4</t>
  </si>
  <si>
    <t>论道台引导-单人修炼触发5</t>
  </si>
  <si>
    <t>论道台引导-单人修炼触发6</t>
  </si>
  <si>
    <t>论道台引导-单人修炼触发7</t>
  </si>
  <si>
    <t>论道台引导-多人修炼触发1</t>
  </si>
  <si>
    <t>论道台引导-多人修炼触发2</t>
  </si>
  <si>
    <t>论道台引导-多人修炼触发3</t>
  </si>
  <si>
    <t>论道台引导-多人修炼触发4</t>
  </si>
  <si>
    <t>论道台引导-多人修炼触发5</t>
  </si>
  <si>
    <t>论道台引导-多人修炼触发6</t>
  </si>
  <si>
    <t>论道台引导-多人修炼触发7</t>
  </si>
  <si>
    <t>创角后首次进入自宅引导1</t>
  </si>
  <si>
    <t>创角后首次进入自宅引导2</t>
  </si>
  <si>
    <t>创角后首次进入自宅引导3</t>
  </si>
  <si>
    <t>创角后首次进入自宅引导4</t>
  </si>
  <si>
    <t>装备熔炼引导1</t>
  </si>
  <si>
    <t>装备熔炼引导2</t>
  </si>
  <si>
    <t>装备熔炼引导3</t>
  </si>
  <si>
    <t>装备熔炼引导4</t>
  </si>
  <si>
    <t>装备熔炼引导5</t>
  </si>
  <si>
    <t>装备熔炼引导7</t>
  </si>
  <si>
    <t>装备熔炼引导8</t>
  </si>
  <si>
    <t>装备熔炼引导9</t>
  </si>
  <si>
    <t>装备熔炼引导10</t>
  </si>
  <si>
    <t>装备熔炼引导11</t>
  </si>
  <si>
    <t>装备熔炼引导12</t>
  </si>
  <si>
    <t>装备熔炼引导14</t>
  </si>
  <si>
    <t>装备熔炼引导13</t>
  </si>
  <si>
    <t>装备熔炼引导15</t>
  </si>
  <si>
    <t>装备熔炼引导16</t>
  </si>
  <si>
    <t>装备熔炼引导17</t>
  </si>
  <si>
    <t>战天兵引导-妖术3完成后1</t>
  </si>
  <si>
    <t>战天兵引导-妖术3完成后2</t>
  </si>
  <si>
    <t>战天兵引导-妖术3完成后3</t>
  </si>
  <si>
    <t>战天兵引导-妖术3完成后4</t>
  </si>
  <si>
    <t>战天兵引导-妖术3完成后5</t>
  </si>
  <si>
    <t>战天兵引导-妖术3完成后6</t>
  </si>
  <si>
    <t>第二幕（上部分）1</t>
  </si>
  <si>
    <t>第二幕（上部分）2</t>
  </si>
  <si>
    <t>第二幕（上部分）3</t>
  </si>
  <si>
    <t>第二幕（上部分）4</t>
  </si>
  <si>
    <t>第二幕（上部分）5</t>
  </si>
  <si>
    <t>第二幕（下部分）多人修炼场景触发1</t>
  </si>
  <si>
    <t>第二幕（下部分）多人修炼场景触发2</t>
  </si>
  <si>
    <t>第二幕（下部分）多人修炼场景触发3</t>
  </si>
  <si>
    <t>第二幕（下部分）多人修炼场景触发4</t>
  </si>
  <si>
    <t>第二幕（下部分）1</t>
  </si>
  <si>
    <t>第二幕（下部分）2</t>
  </si>
  <si>
    <t>第二幕（下部分）3</t>
  </si>
  <si>
    <t>炼器引导-单人修炼1</t>
  </si>
  <si>
    <t>炼器引导-单人修炼2</t>
  </si>
  <si>
    <t>炼器引导-单人修炼3</t>
  </si>
  <si>
    <t>炼器引导-单人修炼4</t>
  </si>
  <si>
    <t>炼器引导-单人修炼5</t>
  </si>
  <si>
    <t>炼器引导-单人修炼6</t>
  </si>
  <si>
    <t>炼器引导-单人修炼7</t>
  </si>
  <si>
    <t>炼器引导-单人修炼8</t>
  </si>
  <si>
    <t>炼器引导-单人修炼9</t>
  </si>
  <si>
    <t>炼器引导-战斗界面1</t>
  </si>
  <si>
    <t>炼器引导-战斗界面2</t>
  </si>
  <si>
    <t>炼器引导-战斗界面3</t>
  </si>
  <si>
    <t>炼器引导-战斗界面4</t>
  </si>
  <si>
    <t>炼器引导-战斗界面5</t>
  </si>
  <si>
    <t>炼器引导-战斗界面6</t>
  </si>
  <si>
    <t>炼器引导-战斗界面7</t>
  </si>
  <si>
    <t>炼器引导-战斗界面8</t>
  </si>
  <si>
    <t>炼器引导-战斗界面9</t>
  </si>
  <si>
    <r>
      <t/>
    </r>
    <r>
      <rPr>
        <b/>
        <sz val="10"/>
        <color rgb="FFffffff"/>
        <rFont val="微软雅黑"/>
        <family val="2"/>
      </rPr>
      <t>用户数据</t>
    </r>
  </si>
  <si>
    <t>玩家主要属性，在固定条件下更新替换原先数据内容</t>
  </si>
  <si>
    <r>
      <t/>
    </r>
    <r>
      <rPr>
        <b/>
        <sz val="10"/>
        <color rgb="FFffffff"/>
        <rFont val="Microsoft YaHei"/>
        <family val="2"/>
      </rPr>
      <t>属性名</t>
    </r>
  </si>
  <si>
    <r>
      <t/>
    </r>
    <r>
      <rPr>
        <b/>
        <sz val="10"/>
        <color rgb="FFffffff"/>
        <rFont val="微软雅黑"/>
        <family val="2"/>
      </rPr>
      <t>属性显示名</t>
    </r>
  </si>
  <si>
    <r>
      <t/>
    </r>
    <r>
      <rPr>
        <b/>
        <sz val="10"/>
        <color rgb="FFffffff"/>
        <rFont val="微软雅黑"/>
        <family val="2"/>
      </rPr>
      <t>属性类型</t>
    </r>
  </si>
  <si>
    <r>
      <t/>
    </r>
    <r>
      <rPr>
        <b/>
        <sz val="10"/>
        <color rgb="FFffffff"/>
        <rFont val="微软雅黑"/>
        <family val="2"/>
      </rPr>
      <t>更新方式</t>
    </r>
  </si>
  <si>
    <r>
      <t/>
    </r>
    <r>
      <rPr>
        <b/>
        <sz val="10"/>
        <color rgb="FFffffff"/>
        <rFont val="微软雅黑"/>
        <family val="2"/>
      </rPr>
      <t>属性说明</t>
    </r>
  </si>
  <si>
    <t>#account_id</t>
  </si>
  <si>
    <t>账户id</t>
  </si>
  <si>
    <t>字符</t>
  </si>
  <si>
    <t>user_set</t>
  </si>
  <si>
    <t>实际内容为角色id，及游戏内每个角色唯一的一个编号（例：30001060665）</t>
  </si>
  <si>
    <t>open_id</t>
  </si>
  <si>
    <t>游戏账户id</t>
  </si>
  <si>
    <t>用户登录/登出时上报</t>
  </si>
  <si>
    <t>role_name</t>
  </si>
  <si>
    <t>当前角色名</t>
  </si>
  <si>
    <t>角色创建/名称修改时上报</t>
  </si>
  <si>
    <t>server</t>
  </si>
  <si>
    <t>区服ID</t>
  </si>
  <si>
    <t>字符串</t>
  </si>
  <si>
    <t>user_setOnce</t>
  </si>
  <si>
    <t>用户注册时上传所属服务器ID</t>
  </si>
  <si>
    <t>guild_id</t>
  </si>
  <si>
    <t>帮会ID</t>
  </si>
  <si>
    <t>每次登出时设置</t>
  </si>
  <si>
    <t>#reg_time</t>
  </si>
  <si>
    <t>注册时间</t>
  </si>
  <si>
    <t>时间</t>
  </si>
  <si>
    <t>角色新增时设置</t>
  </si>
  <si>
    <t>first_login_time</t>
  </si>
  <si>
    <t>首次登录时间</t>
  </si>
  <si>
    <t>首次登录时记录</t>
  </si>
  <si>
    <t>last_login_time</t>
  </si>
  <si>
    <t>最后登录时间</t>
  </si>
  <si>
    <t>每次登录时设置</t>
  </si>
  <si>
    <t>first_pay_time</t>
  </si>
  <si>
    <t>首次充值时间</t>
  </si>
  <si>
    <t>首次充值时记录</t>
  </si>
  <si>
    <t>first_pay_amount</t>
  </si>
  <si>
    <t>首充金额</t>
  </si>
  <si>
    <t>数值</t>
  </si>
  <si>
    <t>last_pay_time</t>
  </si>
  <si>
    <t>最后充值时间</t>
  </si>
  <si>
    <t>每次充值时覆盖原来记录</t>
  </si>
  <si>
    <t>total_revenue</t>
  </si>
  <si>
    <t>累计付费金额</t>
  </si>
  <si>
    <t>user_add</t>
  </si>
  <si>
    <t>每次付费完成时累加</t>
  </si>
  <si>
    <t>total_login</t>
  </si>
  <si>
    <t>累计登录次数</t>
  </si>
  <si>
    <t>每次登录时累加</t>
  </si>
  <si>
    <t>current_session_time</t>
  </si>
  <si>
    <t>当前累计游戏时长</t>
  </si>
  <si>
    <t>每次登出时累加</t>
  </si>
  <si>
    <t>current_gc</t>
  </si>
  <si>
    <t>当前元宝数</t>
  </si>
  <si>
    <t>current_coin</t>
  </si>
  <si>
    <t>当前银两数</t>
  </si>
  <si>
    <t>current_role_level</t>
  </si>
  <si>
    <t>当前等级</t>
  </si>
  <si>
    <t>group_position</t>
  </si>
  <si>
    <t>当前境界</t>
  </si>
  <si>
    <t>current_vip_level</t>
  </si>
  <si>
    <t>当前VIP等级</t>
  </si>
  <si>
    <t>current_fp</t>
  </si>
  <si>
    <t>当前总评分</t>
  </si>
  <si>
    <t>main_task_id</t>
  </si>
  <si>
    <t>主线任务ID</t>
  </si>
  <si>
    <t>group_name</t>
  </si>
  <si>
    <t>种族名称</t>
  </si>
  <si>
    <t>arm_fp</t>
  </si>
  <si>
    <t>法宝总评分</t>
  </si>
  <si>
    <t>card_fp</t>
  </si>
  <si>
    <t>功法总评分</t>
  </si>
  <si>
    <t>eqiup_fp</t>
  </si>
  <si>
    <t>装备总评分</t>
  </si>
  <si>
    <t>kill_num</t>
  </si>
  <si>
    <t>杀敌数</t>
  </si>
  <si>
    <t>achieve_lv</t>
  </si>
  <si>
    <t>成就等级</t>
  </si>
  <si>
    <r>
      <t/>
    </r>
    <r>
      <rPr>
        <b/>
        <sz val="10"/>
        <color rgb="FFffffff"/>
        <rFont val="微软雅黑"/>
        <family val="2"/>
      </rPr>
      <t>daily</t>
    </r>
  </si>
  <si>
    <t>1. 事件名：字符串类型，可以数字或字母开头，可包含数字，字母和下划线“\_”，长度最大为50个字符，对字母大小写不敏感
属性名：字符串类型，以数字或字母开头，可包含数字，字母和下划线“\_”，长度最大为50个字符，对字母大小写不敏感。只有预置属性能以#号开头。
2. 属性值类型由首次导入时的类型决定，请在埋点时务必仔细确认属性类型是否符合预期。
3. 在TA系统底层结构中，不同事件的同名属性会占用一个字段，该设定在实际使用时不会产生混淆，但需要保证同名属性的类型是一致，如一些常用字段命名在不同事件中类型不一致，建议可以加上类型前缀，如n_type、s_type等</t>
  </si>
  <si>
    <t>事件模块</t>
  </si>
  <si>
    <t>事件模块英文名</t>
  </si>
  <si>
    <t>事件名</t>
  </si>
  <si>
    <t>事件显示名</t>
  </si>
  <si>
    <t>事件说明</t>
  </si>
  <si>
    <t>事件属性</t>
  </si>
  <si>
    <t>属性名</t>
  </si>
  <si>
    <t>属性显示名</t>
  </si>
  <si>
    <t>示例</t>
  </si>
  <si>
    <t>属性类型</t>
  </si>
  <si>
    <t>校验</t>
  </si>
  <si>
    <t>开发状态</t>
  </si>
  <si>
    <t>验收状态</t>
  </si>
  <si>
    <t>中间代码勿动</t>
  </si>
  <si>
    <t>基础</t>
  </si>
  <si>
    <t>Base</t>
  </si>
  <si>
    <t>user_create</t>
  </si>
  <si>
    <t>首次账号登录</t>
  </si>
  <si>
    <t>首次账号登录后推送(服务端传，需确保创建必然=首次账号登陆)</t>
  </si>
  <si>
    <t>#device_model</t>
  </si>
  <si>
    <t>设备型号</t>
  </si>
  <si>
    <t>iPhone11</t>
  </si>
  <si>
    <t>#network_type</t>
  </si>
  <si>
    <t>网络状态</t>
  </si>
  <si>
    <t>WiFi</t>
  </si>
  <si>
    <t>#ip</t>
  </si>
  <si>
    <t>IP</t>
  </si>
  <si>
    <t>192.168.1.1</t>
  </si>
  <si>
    <t>#os</t>
  </si>
  <si>
    <t>操作系统</t>
  </si>
  <si>
    <t>如 Android、iOS 等</t>
  </si>
  <si>
    <t>#os_version</t>
  </si>
  <si>
    <t>操作系统版本</t>
  </si>
  <si>
    <t>iOS 11.2.2、Android 8.0.0 等</t>
  </si>
  <si>
    <t>login_source</t>
  </si>
  <si>
    <t>登录渠道</t>
  </si>
  <si>
    <t>client_ver</t>
  </si>
  <si>
    <t>客户端版本</t>
  </si>
  <si>
    <t>1.1.1</t>
  </si>
  <si>
    <t>server_ver</t>
  </si>
  <si>
    <t>服务端版本</t>
  </si>
  <si>
    <t>2.2.2</t>
  </si>
  <si>
    <t>user_login</t>
  </si>
  <si>
    <t>账号登录</t>
  </si>
  <si>
    <t>账号登录后推送</t>
  </si>
  <si>
    <t>is_pay</t>
  </si>
  <si>
    <t>是否付费</t>
  </si>
  <si>
    <t>是</t>
  </si>
  <si>
    <t>布尔</t>
  </si>
  <si>
    <t>role_create</t>
  </si>
  <si>
    <t>创建角色</t>
  </si>
  <si>
    <t>创建角色后推送</t>
  </si>
  <si>
    <t>sex</t>
  </si>
  <si>
    <t>性别</t>
  </si>
  <si>
    <t>男</t>
  </si>
  <si>
    <t>role_login</t>
  </si>
  <si>
    <t>角色登录</t>
  </si>
  <si>
    <t>角色登录后推送</t>
  </si>
  <si>
    <t>platform</t>
  </si>
  <si>
    <t>客户端平台</t>
  </si>
  <si>
    <t>mac/IOS/WINDOWS/Android</t>
  </si>
  <si>
    <t>roleid_create</t>
  </si>
  <si>
    <t>创建角色id</t>
  </si>
  <si>
    <t>创建角色id后推送</t>
  </si>
  <si>
    <t>role_leave</t>
  </si>
  <si>
    <t>角色登出</t>
  </si>
  <si>
    <t>角色登出后推送</t>
  </si>
  <si>
    <t>online_time</t>
  </si>
  <si>
    <t>当次在线时长</t>
  </si>
  <si>
    <t>mail</t>
  </si>
  <si>
    <t>玩家邮件</t>
  </si>
  <si>
    <t>玩家新增/首次阅读/领取/删除邮件后推送</t>
  </si>
  <si>
    <t>mail_type</t>
  </si>
  <si>
    <t>邮件类型</t>
  </si>
  <si>
    <t>运营邮件</t>
  </si>
  <si>
    <t>mail_title</t>
  </si>
  <si>
    <t>邮件主题</t>
  </si>
  <si>
    <t>新年快乐</t>
  </si>
  <si>
    <t>mail_content</t>
  </si>
  <si>
    <t>邮件内容</t>
  </si>
  <si>
    <t>新年好呀，新年好呀</t>
  </si>
  <si>
    <t>awards</t>
  </si>
  <si>
    <t>附件内容</t>
  </si>
  <si>
    <t>炼体丹X5</t>
  </si>
  <si>
    <t>mail_status</t>
  </si>
  <si>
    <t>邮件状态</t>
  </si>
  <si>
    <t>新增邮件/首次阅读/领取/删除</t>
  </si>
  <si>
    <t>create_time</t>
  </si>
  <si>
    <t>创建时间</t>
  </si>
  <si>
    <t>past_time</t>
  </si>
  <si>
    <t>过期时间</t>
  </si>
  <si>
    <t>awards_time</t>
  </si>
  <si>
    <t>领取时间</t>
  </si>
  <si>
    <t>maintask</t>
  </si>
  <si>
    <t>主线任务</t>
  </si>
  <si>
    <t>主线任务状态变更后推送</t>
  </si>
  <si>
    <t>maintask_type</t>
  </si>
  <si>
    <t>主线任务类型</t>
  </si>
  <si>
    <t>maintask_id</t>
  </si>
  <si>
    <r>
      <t/>
    </r>
    <r>
      <rPr>
        <sz val="10"/>
        <color rgb="FF000000"/>
        <rFont val="微软雅黑"/>
        <family val="2"/>
      </rPr>
      <t>maintask_status</t>
    </r>
  </si>
  <si>
    <r>
      <t/>
    </r>
    <r>
      <rPr>
        <sz val="10"/>
        <color rgb="FF000000"/>
        <rFont val="微软雅黑"/>
        <family val="2"/>
      </rPr>
      <t>主线任务状态</t>
    </r>
  </si>
  <si>
    <r>
      <t/>
    </r>
    <r>
      <rPr>
        <sz val="10"/>
        <color rgb="FF000000"/>
        <rFont val="Microsoft YaHei"/>
        <family val="2"/>
      </rPr>
      <t>开始</t>
    </r>
  </si>
  <si>
    <r>
      <t/>
    </r>
    <r>
      <rPr>
        <sz val="10"/>
        <color rgb="FF000000"/>
        <rFont val="微软雅黑"/>
        <family val="2"/>
      </rPr>
      <t>字符串</t>
    </r>
  </si>
  <si>
    <t>role_level</t>
  </si>
  <si>
    <t>角色等级变更后推送</t>
  </si>
  <si>
    <t>change</t>
  </si>
  <si>
    <t>变更值</t>
  </si>
  <si>
    <t>before</t>
  </si>
  <si>
    <t>变更前</t>
  </si>
  <si>
    <t>after</t>
  </si>
  <si>
    <t>变更后</t>
  </si>
  <si>
    <t>reason</t>
  </si>
  <si>
    <t>变更原因</t>
  </si>
  <si>
    <t>升级</t>
  </si>
  <si>
    <t>chat</t>
  </si>
  <si>
    <t>玩家聊天时推送</t>
  </si>
  <si>
    <t>chat_type</t>
  </si>
  <si>
    <t>聊天类型</t>
  </si>
  <si>
    <t>世界聊天/私聊/山头</t>
  </si>
  <si>
    <t>chat_object</t>
  </si>
  <si>
    <t>聊天对象</t>
  </si>
  <si>
    <t>XXX</t>
  </si>
  <si>
    <t>chat_id</t>
  </si>
  <si>
    <t>对象ID</t>
  </si>
  <si>
    <t>chat_content</t>
  </si>
  <si>
    <t>聊天内容</t>
  </si>
  <si>
    <t>share_type</t>
  </si>
  <si>
    <t>聊天方式</t>
  </si>
  <si>
    <t>分享装备/协助分享/正常交流</t>
  </si>
  <si>
    <t>称号</t>
  </si>
  <si>
    <t>Title</t>
  </si>
  <si>
    <t>title</t>
  </si>
  <si>
    <t>称号变更</t>
  </si>
  <si>
    <t>称号获得/穿戴时推送</t>
  </si>
  <si>
    <t>titles_type</t>
  </si>
  <si>
    <t>称号类型</t>
  </si>
  <si>
    <t>荣誉称号</t>
  </si>
  <si>
    <t>title_quality</t>
  </si>
  <si>
    <t>称号品质</t>
  </si>
  <si>
    <t>甲级</t>
  </si>
  <si>
    <t>title_name</t>
  </si>
  <si>
    <t>称号名称</t>
  </si>
  <si>
    <t>福建大侠</t>
  </si>
  <si>
    <t>冲榜活动获得</t>
  </si>
  <si>
    <t>好友</t>
  </si>
  <si>
    <t>Friend</t>
  </si>
  <si>
    <t>friend</t>
  </si>
  <si>
    <t>好友变更</t>
  </si>
  <si>
    <t>好友变更时推送</t>
  </si>
  <si>
    <t>friend_user_id</t>
  </si>
  <si>
    <t>好友角色id</t>
  </si>
  <si>
    <t>friend_user_name</t>
  </si>
  <si>
    <t>好友角色昵称</t>
  </si>
  <si>
    <t>小侠</t>
  </si>
  <si>
    <t>添加</t>
  </si>
  <si>
    <t>活动</t>
  </si>
  <si>
    <t>Activity</t>
  </si>
  <si>
    <t>activity_rank</t>
  </si>
  <si>
    <t>活动排名</t>
  </si>
  <si>
    <t>活动结束时推送</t>
  </si>
  <si>
    <t>act_id</t>
  </si>
  <si>
    <t>冲榜活动id</t>
  </si>
  <si>
    <t>act_name</t>
  </si>
  <si>
    <t>冲榜名称</t>
  </si>
  <si>
    <t>战力冲榜</t>
  </si>
  <si>
    <t>cross_id</t>
  </si>
  <si>
    <t>区服</t>
  </si>
  <si>
    <t>1/1-2-3-4(展示具体区服)</t>
  </si>
  <si>
    <t>rank_type</t>
  </si>
  <si>
    <t>活动类型</t>
  </si>
  <si>
    <t>本服/跨服</t>
  </si>
  <si>
    <t>rank</t>
  </si>
  <si>
    <t>排名</t>
  </si>
  <si>
    <t>final_score</t>
  </si>
  <si>
    <t>冲榜分数</t>
  </si>
  <si>
    <t>activity_awards</t>
  </si>
  <si>
    <t>活动奖励领取</t>
  </si>
  <si>
    <t>活动图标结束时推送</t>
  </si>
  <si>
    <t>awards_items</t>
  </si>
  <si>
    <t>奖励内容</t>
  </si>
  <si>
    <t>经验,银两</t>
  </si>
  <si>
    <t>列表</t>
  </si>
  <si>
    <t>is_awards_take</t>
  </si>
  <si>
    <t>奖励是否领取</t>
  </si>
  <si>
    <t>activity_fraction</t>
  </si>
  <si>
    <t>活动积分</t>
  </si>
  <si>
    <t>活动积分变更时推送</t>
  </si>
  <si>
    <t>Arm</t>
  </si>
  <si>
    <t>arm</t>
  </si>
  <si>
    <t>法宝等级变更后推送</t>
  </si>
  <si>
    <t>arm_name</t>
  </si>
  <si>
    <t>法宝名称</t>
  </si>
  <si>
    <t>锈剑</t>
  </si>
  <si>
    <t>ArmSkin</t>
  </si>
  <si>
    <t>arm_skin</t>
  </si>
  <si>
    <t>至宝获取后推送</t>
  </si>
  <si>
    <t>arm_skin_name</t>
  </si>
  <si>
    <t>至宝名称</t>
  </si>
  <si>
    <t>绝世剑</t>
  </si>
  <si>
    <t>arm_skin_quality</t>
  </si>
  <si>
    <t>至宝品质</t>
  </si>
  <si>
    <t>甲级兵器</t>
  </si>
  <si>
    <t>arm_skin_id</t>
  </si>
  <si>
    <t>至宝ID</t>
  </si>
  <si>
    <t>激活/已拥有转耐久</t>
  </si>
  <si>
    <t>activation_reason</t>
  </si>
  <si>
    <t>激活原因</t>
  </si>
  <si>
    <t>万圣节活动激活</t>
  </si>
  <si>
    <t>arm_skin_durability</t>
  </si>
  <si>
    <t>至宝耐久度</t>
  </si>
  <si>
    <t>至宝耐久度变更后推送</t>
  </si>
  <si>
    <t>绿色</t>
  </si>
  <si>
    <t>恢复/消耗</t>
  </si>
  <si>
    <t>scene</t>
  </si>
  <si>
    <t>场景</t>
  </si>
  <si>
    <t>XX地图</t>
  </si>
  <si>
    <t>器灵洗练</t>
  </si>
  <si>
    <t>Sword</t>
  </si>
  <si>
    <t>sword_mean_wash</t>
  </si>
  <si>
    <t>器灵洗练后推送</t>
  </si>
  <si>
    <t>sword_mean_quality</t>
  </si>
  <si>
    <t>器灵品质</t>
  </si>
  <si>
    <t>sword_mean_position</t>
  </si>
  <si>
    <t>孔位</t>
  </si>
  <si>
    <t>sword_mean_name</t>
  </si>
  <si>
    <t>名称</t>
  </si>
  <si>
    <t>attribute_before</t>
  </si>
  <si>
    <t>变更前属性</t>
  </si>
  <si>
    <t>力量+1、暴击+10%</t>
  </si>
  <si>
    <t>attribute_after</t>
  </si>
  <si>
    <t>变更后属性</t>
  </si>
  <si>
    <t>力量+1、暴击+15%</t>
  </si>
  <si>
    <t>sword_mean_wash_confirm</t>
  </si>
  <si>
    <t>洗练确认</t>
  </si>
  <si>
    <t>attribute</t>
  </si>
  <si>
    <t>属性</t>
  </si>
  <si>
    <t>Booty</t>
  </si>
  <si>
    <t>booty_upgrade</t>
  </si>
  <si>
    <t>奇珍升级</t>
  </si>
  <si>
    <t>奇珍升级变更后推送</t>
  </si>
  <si>
    <t>booty_name</t>
  </si>
  <si>
    <t>奇珍名称</t>
  </si>
  <si>
    <t>九阳盾</t>
  </si>
  <si>
    <t>booty_quality</t>
  </si>
  <si>
    <t>奇珍品质</t>
  </si>
  <si>
    <t>booty_star</t>
  </si>
  <si>
    <t>奇珍星级</t>
  </si>
  <si>
    <t>booty_id</t>
  </si>
  <si>
    <t>奇珍id</t>
  </si>
  <si>
    <t>奇珍穿戴</t>
  </si>
  <si>
    <t>Clothing</t>
  </si>
  <si>
    <t>clothing</t>
  </si>
  <si>
    <t>时装获取后推送</t>
  </si>
  <si>
    <t>clothing_name</t>
  </si>
  <si>
    <t>时装名称</t>
  </si>
  <si>
    <t>clothing_quality</t>
  </si>
  <si>
    <t>时装品质</t>
  </si>
  <si>
    <t>clothing_id</t>
  </si>
  <si>
    <t>时装id</t>
  </si>
  <si>
    <t>clothing_durability</t>
  </si>
  <si>
    <t>时装耐久度</t>
  </si>
  <si>
    <t>时装耐久度变更后推送</t>
  </si>
  <si>
    <t>龙刀</t>
  </si>
  <si>
    <t>Magical</t>
  </si>
  <si>
    <t>magical</t>
  </si>
  <si>
    <t>神通获取后推送</t>
  </si>
  <si>
    <t>magical_name</t>
  </si>
  <si>
    <t>神通名称</t>
  </si>
  <si>
    <t>magical_quality</t>
  </si>
  <si>
    <t>神通品质</t>
  </si>
  <si>
    <t>magical_id</t>
  </si>
  <si>
    <t>神通id</t>
  </si>
  <si>
    <t>magical_durability</t>
  </si>
  <si>
    <t>神通耐久度</t>
  </si>
  <si>
    <t>神通耐久度变更后推送</t>
  </si>
  <si>
    <t>妖术</t>
  </si>
  <si>
    <t>LostKnowledge</t>
  </si>
  <si>
    <t>lost_knowledge</t>
  </si>
  <si>
    <t>妖术等级</t>
  </si>
  <si>
    <t>妖术等级变更后推送</t>
  </si>
  <si>
    <t>lost_knowledge_name</t>
  </si>
  <si>
    <t>妖术名称</t>
  </si>
  <si>
    <t>吸星大法</t>
  </si>
  <si>
    <t>狐狸</t>
  </si>
  <si>
    <t>lost_knowledge_type</t>
  </si>
  <si>
    <t>妖术类型</t>
  </si>
  <si>
    <t>攻击/被动/触发</t>
  </si>
  <si>
    <t>lost_knowledge_use</t>
  </si>
  <si>
    <t>妖术释放</t>
  </si>
  <si>
    <t>妖术释放后推送
释放一次推送一条</t>
  </si>
  <si>
    <t>fight_type</t>
  </si>
  <si>
    <t>战斗类型</t>
  </si>
  <si>
    <t>PVP/PVE</t>
  </si>
  <si>
    <t>场景（无场景记录所属系统）</t>
  </si>
  <si>
    <t>Gong</t>
  </si>
  <si>
    <t>card_level</t>
  </si>
  <si>
    <t>功法等级</t>
  </si>
  <si>
    <t>功法等级变更后推送</t>
  </si>
  <si>
    <t>card_name</t>
  </si>
  <si>
    <t>功法名称</t>
  </si>
  <si>
    <t>易筋经一重</t>
  </si>
  <si>
    <t>功法升级</t>
  </si>
  <si>
    <t>战斗</t>
  </si>
  <si>
    <t>Fight</t>
  </si>
  <si>
    <t>fight_pve</t>
  </si>
  <si>
    <t>战斗_击杀BOSS</t>
  </si>
  <si>
    <t>击杀BOSS后推送</t>
  </si>
  <si>
    <t>map_type</t>
  </si>
  <si>
    <t>副本类型</t>
  </si>
  <si>
    <t>世界boss</t>
  </si>
  <si>
    <t>boss_type</t>
  </si>
  <si>
    <t>boss类型</t>
  </si>
  <si>
    <t>姑苏河畔</t>
  </si>
  <si>
    <t>boss_name</t>
  </si>
  <si>
    <t>NPC名称</t>
  </si>
  <si>
    <t>狮王(100级)</t>
  </si>
  <si>
    <t>fight_result</t>
  </si>
  <si>
    <t>战斗结果</t>
  </si>
  <si>
    <t>胜利</t>
  </si>
  <si>
    <t>is_summon</t>
  </si>
  <si>
    <t>是否召唤</t>
  </si>
  <si>
    <t>是/否</t>
  </si>
  <si>
    <t>fight_pve_fail</t>
  </si>
  <si>
    <t>战斗_击杀BOSS失败</t>
  </si>
  <si>
    <t>击杀BOSS失败后推送</t>
  </si>
  <si>
    <t>被BOSS击杀/退出地图</t>
  </si>
  <si>
    <t>fight_invitation</t>
  </si>
  <si>
    <t>战斗_邀请</t>
  </si>
  <si>
    <t>邀请战斗后推送</t>
  </si>
  <si>
    <t>invitation_map</t>
  </si>
  <si>
    <t>邀请地图</t>
  </si>
  <si>
    <t>invited_user_id</t>
  </si>
  <si>
    <t>受邀请角色ID</t>
  </si>
  <si>
    <t>123456,123456</t>
  </si>
  <si>
    <t>fight_pvp</t>
  </si>
  <si>
    <t>战斗_击杀玩家</t>
  </si>
  <si>
    <t>击杀玩家后推送</t>
  </si>
  <si>
    <t>win_assist_name</t>
  </si>
  <si>
    <t>获胜角色助阵侠客</t>
  </si>
  <si>
    <t>小龙女</t>
  </si>
  <si>
    <t>win_assist_id</t>
  </si>
  <si>
    <t>获胜角色助阵侠客ID</t>
  </si>
  <si>
    <t>lost_role_id</t>
  </si>
  <si>
    <t>死亡角色ID</t>
  </si>
  <si>
    <t>lost_role_name</t>
  </si>
  <si>
    <t>死亡角色昵称</t>
  </si>
  <si>
    <t>好不好</t>
  </si>
  <si>
    <t>lost_role_fp</t>
  </si>
  <si>
    <t>死亡角色战力</t>
  </si>
  <si>
    <t>map</t>
  </si>
  <si>
    <t>死亡地图</t>
  </si>
  <si>
    <t>世界BOSS</t>
  </si>
  <si>
    <t>狮王</t>
  </si>
  <si>
    <t>fight_pvp_lost</t>
  </si>
  <si>
    <t>战斗_被玩家击杀</t>
  </si>
  <si>
    <t>被击杀后推送</t>
  </si>
  <si>
    <t>win_role_id</t>
  </si>
  <si>
    <t>获胜角色ID</t>
  </si>
  <si>
    <t>win_role_name</t>
  </si>
  <si>
    <t>获胜角色昵称</t>
  </si>
  <si>
    <t>win_role_fp</t>
  </si>
  <si>
    <t>获胜角色战力</t>
  </si>
  <si>
    <t>玄机</t>
  </si>
  <si>
    <t>set</t>
  </si>
  <si>
    <t>勾选设置</t>
  </si>
  <si>
    <t>至宝、时装等勾选状态修改时推送</t>
  </si>
  <si>
    <t>set_type</t>
  </si>
  <si>
    <t>勾选类型</t>
  </si>
  <si>
    <t>神兵/时装</t>
  </si>
  <si>
    <t>set_before</t>
  </si>
  <si>
    <t>设置前</t>
  </si>
  <si>
    <t>无勾选</t>
  </si>
  <si>
    <t>set_after</t>
  </si>
  <si>
    <t>设置后</t>
  </si>
  <si>
    <t>对玩家生效</t>
  </si>
  <si>
    <t>fight_battle_scene</t>
  </si>
  <si>
    <t>战斗场景变更</t>
  </si>
  <si>
    <t>战斗场景变更时推送</t>
  </si>
  <si>
    <t>scene_type</t>
  </si>
  <si>
    <t>地图名称</t>
  </si>
  <si>
    <t>武学副本</t>
  </si>
  <si>
    <t>紫儿</t>
  </si>
  <si>
    <t>进入地图/退出地图</t>
  </si>
  <si>
    <t>arena</t>
  </si>
  <si>
    <t>竞技场</t>
  </si>
  <si>
    <t>竞技场战斗结束后推送</t>
  </si>
  <si>
    <t>enemy_id</t>
  </si>
  <si>
    <t>敌方ID</t>
  </si>
  <si>
    <t>enemy_name</t>
  </si>
  <si>
    <t>敌方昵称</t>
  </si>
  <si>
    <t>一按我帮你</t>
  </si>
  <si>
    <t>enemy_fp</t>
  </si>
  <si>
    <t>敌方战力</t>
  </si>
  <si>
    <t>type</t>
  </si>
  <si>
    <t>类型</t>
  </si>
  <si>
    <t>进攻</t>
  </si>
  <si>
    <t>fight_rlt</t>
  </si>
  <si>
    <t>season_id</t>
  </si>
  <si>
    <t>赛季id</t>
  </si>
  <si>
    <t>season_rank</t>
  </si>
  <si>
    <t>赛季排名</t>
  </si>
  <si>
    <t>season_change</t>
  </si>
  <si>
    <t>赛季积分变更值</t>
  </si>
  <si>
    <t>season_after</t>
  </si>
  <si>
    <t>赛季积分变更后</t>
  </si>
  <si>
    <t>if_cross</t>
  </si>
  <si>
    <t>是否跨服</t>
  </si>
  <si>
    <t>kill</t>
  </si>
  <si>
    <t>杀敌数变更</t>
  </si>
  <si>
    <t>杀敌数变更时推送</t>
  </si>
  <si>
    <t>激活XXboss/挂机获取</t>
  </si>
  <si>
    <t>Equip</t>
  </si>
  <si>
    <t>equip_intensify</t>
  </si>
  <si>
    <t>装备强化</t>
  </si>
  <si>
    <t>装备强化后推送</t>
  </si>
  <si>
    <t>equip_pos</t>
  </si>
  <si>
    <t>装备部位</t>
  </si>
  <si>
    <t>equip_wear</t>
  </si>
  <si>
    <t>装备穿戴</t>
  </si>
  <si>
    <t>装备穿戴后推送</t>
  </si>
  <si>
    <t>equip_quality</t>
  </si>
  <si>
    <t>装备品质</t>
  </si>
  <si>
    <t>紫阶</t>
  </si>
  <si>
    <t>equip_name</t>
  </si>
  <si>
    <t>装备名称</t>
  </si>
  <si>
    <t>布甲</t>
  </si>
  <si>
    <t>equip_fp</t>
  </si>
  <si>
    <t>装备评分</t>
  </si>
  <si>
    <t>equip_level</t>
  </si>
  <si>
    <t>装备等级</t>
  </si>
  <si>
    <t>equip_affix</t>
  </si>
  <si>
    <t>装备词条</t>
  </si>
  <si>
    <t>equip_id</t>
  </si>
  <si>
    <t>装备id</t>
  </si>
  <si>
    <t>equip_share</t>
  </si>
  <si>
    <t>装备分享</t>
  </si>
  <si>
    <t>装备分享后推送</t>
  </si>
  <si>
    <t>equip_appraisal</t>
  </si>
  <si>
    <t>装备鉴定</t>
  </si>
  <si>
    <t>装备鉴定后推送</t>
  </si>
  <si>
    <t>equip_durable</t>
  </si>
  <si>
    <t>装备耐久</t>
  </si>
  <si>
    <t>耐久产生变化时推送</t>
  </si>
  <si>
    <t>耐久变更前</t>
  </si>
  <si>
    <t>耐久变更值</t>
  </si>
  <si>
    <t>耐久变更后</t>
  </si>
  <si>
    <t>main</t>
  </si>
  <si>
    <t>scene_id</t>
  </si>
  <si>
    <t>场景ID</t>
  </si>
  <si>
    <t>耐久变更原因</t>
  </si>
  <si>
    <t>PVE击杀/PVP击杀/精铁补充</t>
  </si>
  <si>
    <t>道具资源变更</t>
  </si>
  <si>
    <t>Item</t>
  </si>
  <si>
    <t>item_change</t>
  </si>
  <si>
    <t>道具资源变更后推送</t>
  </si>
  <si>
    <t>item_type</t>
  </si>
  <si>
    <t>道具类型</t>
  </si>
  <si>
    <t>道具</t>
  </si>
  <si>
    <t>item_id</t>
  </si>
  <si>
    <t>道具id</t>
  </si>
  <si>
    <t>item_name</t>
  </si>
  <si>
    <t>道具名称</t>
  </si>
  <si>
    <t>元宝</t>
  </si>
  <si>
    <t>area</t>
  </si>
  <si>
    <t>BOSS名称</t>
  </si>
  <si>
    <t>充值档位</t>
  </si>
  <si>
    <t>action_mod</t>
  </si>
  <si>
    <t>所属系统</t>
  </si>
  <si>
    <t>系统解锁</t>
  </si>
  <si>
    <t>System</t>
  </si>
  <si>
    <t>system_unlock</t>
  </si>
  <si>
    <t>解锁系统时推送</t>
  </si>
  <si>
    <t>system_name</t>
  </si>
  <si>
    <t>系统名称</t>
  </si>
  <si>
    <t>兵器</t>
  </si>
  <si>
    <t>境界</t>
  </si>
  <si>
    <t>Realm</t>
  </si>
  <si>
    <t>境界提升</t>
  </si>
  <si>
    <t>境界提升时推送</t>
  </si>
  <si>
    <t>is_success</t>
  </si>
  <si>
    <t>是否成功</t>
  </si>
  <si>
    <t>失败/成功</t>
  </si>
  <si>
    <t>pos_before</t>
  </si>
  <si>
    <t>变更前职位</t>
  </si>
  <si>
    <t>教徒</t>
  </si>
  <si>
    <t>pos_after</t>
  </si>
  <si>
    <t>变更后职位</t>
  </si>
  <si>
    <t>地字门徒</t>
  </si>
  <si>
    <t>Guild</t>
  </si>
  <si>
    <t>guild_create</t>
  </si>
  <si>
    <t>妖盟创建</t>
  </si>
  <si>
    <t>妖盟创建后推送</t>
  </si>
  <si>
    <t>妖盟ID</t>
  </si>
  <si>
    <t>guild_name</t>
  </si>
  <si>
    <t>妖盟名称</t>
  </si>
  <si>
    <t>guild_level</t>
  </si>
  <si>
    <t>妖盟等级</t>
  </si>
  <si>
    <t>position</t>
  </si>
  <si>
    <t>妖盟职位</t>
  </si>
  <si>
    <t>帮主</t>
  </si>
  <si>
    <t>guild_in</t>
  </si>
  <si>
    <t>加入妖盟</t>
  </si>
  <si>
    <t>加入妖盟后推送</t>
  </si>
  <si>
    <t>leader_id</t>
  </si>
  <si>
    <t>帮主角色ID</t>
  </si>
  <si>
    <t>guild_out</t>
  </si>
  <si>
    <t>退出妖盟</t>
  </si>
  <si>
    <t>退出妖盟后推送</t>
  </si>
  <si>
    <t>guild_position</t>
  </si>
  <si>
    <t>退出妖盟/踢出妖盟/妖盟解锁</t>
  </si>
  <si>
    <t>guild_leader</t>
  </si>
  <si>
    <t>帮主变更</t>
  </si>
  <si>
    <t>帮主变更后推送</t>
  </si>
  <si>
    <t>来辣</t>
  </si>
  <si>
    <t>new_leader_id</t>
  </si>
  <si>
    <t>新帮主角色ID</t>
  </si>
  <si>
    <t>自动转移/帮主转移/妖盟创建</t>
  </si>
  <si>
    <t>guild_coin</t>
  </si>
  <si>
    <t>妖丹</t>
  </si>
  <si>
    <t>妖丹变更后推送</t>
  </si>
  <si>
    <t>击杀妖盟boss</t>
  </si>
  <si>
    <t>guild_tactics</t>
  </si>
  <si>
    <t>妖盟阵法</t>
  </si>
  <si>
    <t>妖盟阵法等级变更后推送</t>
  </si>
  <si>
    <t>tactics_name</t>
  </si>
  <si>
    <t>阵法名称</t>
  </si>
  <si>
    <t>两仪阵</t>
  </si>
  <si>
    <t>guild_wealth</t>
  </si>
  <si>
    <t>妖盟财富</t>
  </si>
  <si>
    <t>妖盟财富变更后推送</t>
  </si>
  <si>
    <t>求贤阁-周芷若</t>
  </si>
  <si>
    <t>guild_miji</t>
  </si>
  <si>
    <t>妖盟点修</t>
  </si>
  <si>
    <t>妖盟点修变更后推送</t>
  </si>
  <si>
    <t>miji_name</t>
  </si>
  <si>
    <t>秘籍名称</t>
  </si>
  <si>
    <t>技能名称1</t>
  </si>
  <si>
    <t>miji_type</t>
  </si>
  <si>
    <t>秘籍类型</t>
  </si>
  <si>
    <t>增伤</t>
  </si>
  <si>
    <t>guild_gift</t>
  </si>
  <si>
    <t>用户针对山头砍价礼包砍价或购买时上传该条日志</t>
  </si>
  <si>
    <t>山头id</t>
  </si>
  <si>
    <t>TRUE</t>
  </si>
  <si>
    <t>guild_lv</t>
  </si>
  <si>
    <t>山头等级</t>
  </si>
  <si>
    <t>山头名称</t>
  </si>
  <si>
    <t>咖喱给给</t>
  </si>
  <si>
    <t>只上传触发时的山头名字，后续改名不管</t>
  </si>
  <si>
    <t>gift_id</t>
  </si>
  <si>
    <t>当前售卖的礼包配置id</t>
  </si>
  <si>
    <t>本次操作类型</t>
  </si>
  <si>
    <t>砍价/购买/领差价</t>
  </si>
  <si>
    <t>phase</t>
  </si>
  <si>
    <t>本次操作所处阶段</t>
  </si>
  <si>
    <t>砍价期间/重置期间</t>
  </si>
  <si>
    <t>砍价期间为该礼包可以砍价的时间段，重置期间为该礼包仅可购买到礼包重置的时间段</t>
  </si>
  <si>
    <t>价格变更前</t>
  </si>
  <si>
    <t>价格变更值</t>
  </si>
  <si>
    <t>当前价格</t>
  </si>
  <si>
    <t>bargain_num</t>
  </si>
  <si>
    <t>累计砍价次数</t>
  </si>
  <si>
    <t>7/22</t>
  </si>
  <si>
    <t>计数包含本次砍价</t>
  </si>
  <si>
    <t>限时礼包</t>
  </si>
  <si>
    <t>Gift</t>
  </si>
  <si>
    <t>limit_gift</t>
  </si>
  <si>
    <t>限时礼包触发或购买后推送</t>
  </si>
  <si>
    <t>gift_type</t>
  </si>
  <si>
    <t>礼包类型</t>
  </si>
  <si>
    <t>神兵助力礼包</t>
  </si>
  <si>
    <t>gift_desc</t>
  </si>
  <si>
    <t>描述</t>
  </si>
  <si>
    <t>神兵达到29级</t>
  </si>
  <si>
    <t>gift_name</t>
  </si>
  <si>
    <t>礼包名称</t>
  </si>
  <si>
    <t>神兵助力礼包-1</t>
  </si>
  <si>
    <t>gift_price</t>
  </si>
  <si>
    <t>价格</t>
  </si>
  <si>
    <t>gift_content</t>
  </si>
  <si>
    <t>礼包内容</t>
  </si>
  <si>
    <t>武学币x100，杀气x100</t>
  </si>
  <si>
    <t>触发</t>
  </si>
  <si>
    <t>客户端埋点</t>
  </si>
  <si>
    <t>Client</t>
  </si>
  <si>
    <t>sys_inter</t>
  </si>
  <si>
    <t>系统入口</t>
  </si>
  <si>
    <t>点击系统入口时推送</t>
  </si>
  <si>
    <t>账号</t>
  </si>
  <si>
    <t>asdf1234</t>
  </si>
  <si>
    <t>event_type</t>
  </si>
  <si>
    <t>guide_Id</t>
  </si>
  <si>
    <t>大类ID</t>
  </si>
  <si>
    <t>client_event_id</t>
  </si>
  <si>
    <t>客户端事件ID</t>
  </si>
  <si>
    <t>client_event_name</t>
  </si>
  <si>
    <t>客户端事件名称</t>
  </si>
  <si>
    <t>神兵</t>
  </si>
  <si>
    <t>event_time</t>
  </si>
  <si>
    <t>客户端事件时间</t>
  </si>
  <si>
    <t>1619147713616</t>
  </si>
  <si>
    <t>other</t>
  </si>
  <si>
    <t>其他参数</t>
  </si>
  <si>
    <t>client_login_process</t>
  </si>
  <si>
    <t>客户端登录流程</t>
  </si>
  <si>
    <t>完成各登录流程后推送，登录流程按原需求</t>
  </si>
  <si>
    <t>初始化SDK</t>
  </si>
  <si>
    <t>novice_guide</t>
  </si>
  <si>
    <t>新手引导</t>
  </si>
  <si>
    <t>完成各新手引导后推送，新手引导内容按原需求</t>
  </si>
  <si>
    <t>点击主线任务</t>
  </si>
  <si>
    <t>Advertising_appear</t>
  </si>
  <si>
    <t>广告位曝光</t>
  </si>
  <si>
    <t>打开特定带广告相关界面时推送</t>
  </si>
  <si>
    <t>体力/天墉城广告礼包/每日福利</t>
  </si>
  <si>
    <t>Advertising_play</t>
  </si>
  <si>
    <t>广告播放</t>
  </si>
  <si>
    <t>广告播放完推送</t>
  </si>
  <si>
    <t>完成播放</t>
  </si>
  <si>
    <t>充值模块</t>
  </si>
  <si>
    <t>Order</t>
  </si>
  <si>
    <t>order_init</t>
  </si>
  <si>
    <t>发起订单</t>
  </si>
  <si>
    <t>用户发起充值订单时推送</t>
  </si>
  <si>
    <t>recharge_id</t>
  </si>
  <si>
    <t>计费点id</t>
  </si>
  <si>
    <t>recharge_type</t>
  </si>
  <si>
    <t>商品类型</t>
  </si>
  <si>
    <t>日礼包</t>
  </si>
  <si>
    <t>商品项</t>
  </si>
  <si>
    <t>6元武学日礼包</t>
  </si>
  <si>
    <t>order_id</t>
  </si>
  <si>
    <t>订单号</t>
  </si>
  <si>
    <t>ddh111</t>
  </si>
  <si>
    <t>pay_amount</t>
  </si>
  <si>
    <t>支付金额</t>
  </si>
  <si>
    <t>pay_amount_usd</t>
  </si>
  <si>
    <t>支付美元金额</t>
  </si>
  <si>
    <t>ip</t>
  </si>
  <si>
    <t>充值ip</t>
  </si>
  <si>
    <t>is_first_pay</t>
  </si>
  <si>
    <t>是否首次充值</t>
  </si>
  <si>
    <t>pay_source</t>
  </si>
  <si>
    <t>充值渠道</t>
  </si>
  <si>
    <t>current_phy</t>
  </si>
  <si>
    <t>当前体力值</t>
  </si>
  <si>
    <t>order_finish</t>
  </si>
  <si>
    <t>订单完成</t>
  </si>
  <si>
    <t>订单完成时推送</t>
  </si>
  <si>
    <t>ext_order_id</t>
  </si>
  <si>
    <t>合作方订单号</t>
  </si>
  <si>
    <t>hzfddh111</t>
  </si>
  <si>
    <t>daily_recharge_times</t>
  </si>
  <si>
    <t>当日充值次数</t>
  </si>
  <si>
    <t>商城</t>
  </si>
  <si>
    <t>Shop</t>
  </si>
  <si>
    <t>buy_shop_item</t>
  </si>
  <si>
    <t>商城购买道具</t>
  </si>
  <si>
    <t>在商城内购买道具、礼包时推送；
一键购买时不同商品、同商品不同价格需要进行区分</t>
  </si>
  <si>
    <t>shop_type</t>
  </si>
  <si>
    <t>商城类型</t>
  </si>
  <si>
    <t>礼包商城</t>
  </si>
  <si>
    <t>commodity_id</t>
  </si>
  <si>
    <t>商品id</t>
  </si>
  <si>
    <t>commodity_name</t>
  </si>
  <si>
    <t>商品名称</t>
  </si>
  <si>
    <t>武学礼包</t>
  </si>
  <si>
    <t>buy_quantity</t>
  </si>
  <si>
    <t>购买数量</t>
  </si>
  <si>
    <t>cost_resource</t>
  </si>
  <si>
    <t>消耗资源</t>
  </si>
  <si>
    <t>cost_num</t>
  </si>
  <si>
    <t>消耗数量</t>
  </si>
  <si>
    <t>每日玩家数据</t>
  </si>
  <si>
    <t>Daily</t>
  </si>
  <si>
    <t>userdaily</t>
  </si>
  <si>
    <t>每日玩家进度</t>
  </si>
  <si>
    <t>每日23:50分推送玩家当前信息</t>
  </si>
  <si>
    <t>amount</t>
  </si>
  <si>
    <t>充值金额</t>
  </si>
  <si>
    <t>experience_time</t>
  </si>
  <si>
    <t>有效历练次数</t>
  </si>
  <si>
    <t>妖盟111</t>
  </si>
  <si>
    <t>arm_level</t>
  </si>
  <si>
    <t>achieve_level</t>
  </si>
  <si>
    <t>法宝评分</t>
  </si>
  <si>
    <t>功法评分</t>
  </si>
  <si>
    <t>achieve_fp</t>
  </si>
  <si>
    <t>资历点</t>
  </si>
  <si>
    <t>arm_up</t>
  </si>
  <si>
    <t>法宝加成</t>
  </si>
  <si>
    <t>gong_up</t>
  </si>
  <si>
    <t>元神加成</t>
  </si>
  <si>
    <t>equip_up</t>
  </si>
  <si>
    <t>装备加成</t>
  </si>
  <si>
    <t>realm_up</t>
  </si>
  <si>
    <t>境界加成</t>
  </si>
  <si>
    <t>npc_atk_time</t>
  </si>
  <si>
    <t>素罗攻击次数</t>
  </si>
  <si>
    <t>pvp_kill_time</t>
  </si>
  <si>
    <t>PVP击杀次数</t>
  </si>
  <si>
    <t>pve_be_kill_time</t>
  </si>
  <si>
    <t>PVE被击杀次数</t>
  </si>
  <si>
    <t>pvp_be_kill_time</t>
  </si>
  <si>
    <t>PVP被击杀次数</t>
  </si>
  <si>
    <t>strength</t>
  </si>
  <si>
    <t>力量</t>
  </si>
  <si>
    <t>endurance</t>
  </si>
  <si>
    <t>耐力</t>
  </si>
  <si>
    <t>constitution</t>
  </si>
  <si>
    <t>体力</t>
  </si>
  <si>
    <t>atk</t>
  </si>
  <si>
    <t>攻击</t>
  </si>
  <si>
    <t>def</t>
  </si>
  <si>
    <t>防御</t>
  </si>
  <si>
    <t>hp</t>
  </si>
  <si>
    <t>血量</t>
  </si>
  <si>
    <t>crit</t>
  </si>
  <si>
    <t>暴击</t>
  </si>
  <si>
    <t>critDamage</t>
  </si>
  <si>
    <t>爆伤</t>
  </si>
  <si>
    <t>hurt</t>
  </si>
  <si>
    <t>harmless</t>
  </si>
  <si>
    <t>减伤</t>
  </si>
  <si>
    <t>exp</t>
  </si>
  <si>
    <t>经验值</t>
  </si>
  <si>
    <t>world_lv</t>
  </si>
  <si>
    <t>世界等级</t>
  </si>
  <si>
    <t>宝石</t>
  </si>
  <si>
    <t>Jewel</t>
  </si>
  <si>
    <t>jewel_inlay</t>
  </si>
  <si>
    <t>镶嵌＆升级后推送</t>
  </si>
  <si>
    <t>衣服</t>
  </si>
  <si>
    <t>jewel_quality</t>
  </si>
  <si>
    <t>宝石品质</t>
  </si>
  <si>
    <t>before_jewel_quality</t>
  </si>
  <si>
    <t>原有宝石品质</t>
  </si>
  <si>
    <t>jewel_name</t>
  </si>
  <si>
    <t>宝石名称</t>
  </si>
  <si>
    <t>攻击石</t>
  </si>
  <si>
    <t>镶嵌/升级</t>
  </si>
  <si>
    <t>Mission</t>
  </si>
  <si>
    <t>experience</t>
  </si>
  <si>
    <t>玩家击杀历练BOSS后推送</t>
  </si>
  <si>
    <t>experience_name</t>
  </si>
  <si>
    <t>历练名称</t>
  </si>
  <si>
    <t>XX</t>
  </si>
  <si>
    <t>experience_lv</t>
  </si>
  <si>
    <t>历练等级</t>
  </si>
  <si>
    <t>experience_type</t>
  </si>
  <si>
    <t>历练类型</t>
  </si>
  <si>
    <t>功法/法宝/中午场</t>
  </si>
  <si>
    <t>awards_type</t>
  </si>
  <si>
    <t>奖励类型</t>
  </si>
  <si>
    <t>归属/无次数</t>
  </si>
  <si>
    <t>hurt_rank</t>
  </si>
  <si>
    <t>伤害排名</t>
  </si>
  <si>
    <t>cure_rank</t>
  </si>
  <si>
    <t>治疗排名</t>
  </si>
  <si>
    <t>control_rank</t>
  </si>
  <si>
    <t>控制排名</t>
  </si>
  <si>
    <t>任务经验</t>
  </si>
  <si>
    <t>Task</t>
  </si>
  <si>
    <t>task</t>
  </si>
  <si>
    <t>任务经验变更时推送</t>
  </si>
  <si>
    <t>task_type</t>
  </si>
  <si>
    <t>任务类型</t>
  </si>
  <si>
    <t>每日任务活跃度/XX战令经验</t>
  </si>
  <si>
    <t>before_progress</t>
  </si>
  <si>
    <t>变更前进度</t>
  </si>
  <si>
    <t>after_progress</t>
  </si>
  <si>
    <t>变更后进度</t>
  </si>
  <si>
    <t>完成XX任务</t>
  </si>
  <si>
    <t>[仙玉*1,灵气*1]</t>
  </si>
  <si>
    <t>成就</t>
  </si>
  <si>
    <t>Achieve</t>
  </si>
  <si>
    <t>achieve</t>
  </si>
  <si>
    <t>成就状态变更时推送</t>
  </si>
  <si>
    <t>achieve_name</t>
  </si>
  <si>
    <t>成就名称</t>
  </si>
  <si>
    <t>我我我</t>
  </si>
  <si>
    <t>achieve_quality</t>
  </si>
  <si>
    <t>成就品质</t>
  </si>
  <si>
    <t>achieve_describe</t>
  </si>
  <si>
    <t>成就描述</t>
  </si>
  <si>
    <t>你你你</t>
  </si>
  <si>
    <t>change_qualification</t>
  </si>
  <si>
    <t>资历点变更值</t>
  </si>
  <si>
    <t>after_qualification</t>
  </si>
  <si>
    <t>资点变更后</t>
  </si>
  <si>
    <t>achieve_label</t>
  </si>
  <si>
    <t>成就标签</t>
  </si>
  <si>
    <t>成就标签状态变更时推送</t>
  </si>
  <si>
    <t>label_name</t>
  </si>
  <si>
    <t>标签名称</t>
  </si>
  <si>
    <t>label_quality</t>
  </si>
  <si>
    <t>标签品质</t>
  </si>
  <si>
    <t>label_describe</t>
  </si>
  <si>
    <t>标签描述</t>
  </si>
  <si>
    <t>label_stute</t>
  </si>
  <si>
    <t>标签状态</t>
  </si>
  <si>
    <t>穿戴/获取/卸下</t>
  </si>
  <si>
    <t>label_position</t>
  </si>
  <si>
    <t>标签坑位</t>
  </si>
  <si>
    <t>1号位</t>
  </si>
  <si>
    <t>成就等级状态变更时推送</t>
  </si>
  <si>
    <t>Attr</t>
  </si>
  <si>
    <t>attr_change</t>
  </si>
  <si>
    <t>属性变更</t>
  </si>
  <si>
    <t>属性点变更值推送</t>
  </si>
  <si>
    <t>surplus</t>
  </si>
  <si>
    <t>剩余属性点</t>
  </si>
  <si>
    <t>attr_name</t>
  </si>
  <si>
    <t>加点/洗点</t>
  </si>
  <si>
    <t>触发礼包</t>
  </si>
  <si>
    <t>TriggerGift</t>
  </si>
  <si>
    <t>trigger_gift_trigger</t>
  </si>
  <si>
    <t>触发日志</t>
  </si>
  <si>
    <t>触发时推送</t>
  </si>
  <si>
    <t>trigger_gift_id</t>
  </si>
  <si>
    <t>礼包id</t>
  </si>
  <si>
    <t>trigger_gift_name</t>
  </si>
  <si>
    <t>trigger_gift_price</t>
  </si>
  <si>
    <t>礼包价格</t>
  </si>
  <si>
    <t>remaining_num</t>
  </si>
  <si>
    <t>购买次数</t>
  </si>
  <si>
    <t>remaining_time</t>
  </si>
  <si>
    <t>礼包限购时间</t>
  </si>
  <si>
    <t>X小时</t>
  </si>
  <si>
    <t>trigger_gift_buy</t>
  </si>
  <si>
    <t>购买日志</t>
  </si>
  <si>
    <t>购买时推送</t>
  </si>
  <si>
    <t>剩余购买次数</t>
  </si>
  <si>
    <t>购买时触发剩余时间</t>
  </si>
  <si>
    <t>供奉</t>
  </si>
  <si>
    <t>Worship</t>
  </si>
  <si>
    <t>worship_lottery</t>
  </si>
  <si>
    <t>供奉洗练</t>
  </si>
  <si>
    <t>供奉洗练后推送</t>
  </si>
  <si>
    <t>quality</t>
  </si>
  <si>
    <t>技能品质</t>
  </si>
  <si>
    <t>slotId</t>
  </si>
  <si>
    <t>部位</t>
  </si>
  <si>
    <t>name</t>
  </si>
  <si>
    <t>worship_replace</t>
  </si>
  <si>
    <t>供奉确认</t>
  </si>
  <si>
    <t>装备抽取</t>
  </si>
  <si>
    <t>equip_lottery</t>
  </si>
  <si>
    <t>装备抽取后推送（10连传10条）</t>
  </si>
  <si>
    <t>equip_type</t>
  </si>
  <si>
    <t>免费/半价/元宝/精铁</t>
  </si>
  <si>
    <t>护手</t>
  </si>
  <si>
    <t>红/橙/黄</t>
  </si>
  <si>
    <t>装备ID</t>
  </si>
  <si>
    <t>代币消耗</t>
  </si>
  <si>
    <t>voucher</t>
  </si>
  <si>
    <t>代币订单完成</t>
  </si>
  <si>
    <t>消耗代币时推送</t>
  </si>
  <si>
    <t>桃花园</t>
  </si>
  <si>
    <t>Plant</t>
  </si>
  <si>
    <t>plant_water</t>
  </si>
  <si>
    <t>浇水</t>
  </si>
  <si>
    <t>浇水时推送</t>
  </si>
  <si>
    <t>water_times</t>
  </si>
  <si>
    <t>浇水次数</t>
  </si>
  <si>
    <t>left_water_imes</t>
  </si>
  <si>
    <t>当日剩余次数</t>
  </si>
  <si>
    <t>plant_harvest</t>
  </si>
  <si>
    <t>桃园采集</t>
  </si>
  <si>
    <t>桃园采集时推送</t>
  </si>
  <si>
    <t>worker_name</t>
  </si>
  <si>
    <t>妖仆名称</t>
  </si>
  <si>
    <t>蛙不困</t>
  </si>
  <si>
    <t>harvest_times</t>
  </si>
  <si>
    <t>当日累计采集</t>
  </si>
  <si>
    <t>plant_ask_help</t>
  </si>
  <si>
    <t>发起协助申请</t>
  </si>
  <si>
    <t>发起协助申请时推送</t>
  </si>
  <si>
    <t>ask_times</t>
  </si>
  <si>
    <t>当日发起协助次数</t>
  </si>
  <si>
    <t>plant_been_help</t>
  </si>
  <si>
    <t>被协助</t>
  </si>
  <si>
    <t>被协助时推送</t>
  </si>
  <si>
    <t>help_uid</t>
  </si>
  <si>
    <t>协助人ID</t>
  </si>
  <si>
    <t>help_name</t>
  </si>
  <si>
    <t>协助人名称</t>
  </si>
  <si>
    <t>小甜兔</t>
  </si>
  <si>
    <t>plant_help</t>
  </si>
  <si>
    <t>协助他人</t>
  </si>
  <si>
    <t>协助他人时推送</t>
  </si>
  <si>
    <t>been_help_uid</t>
  </si>
  <si>
    <t>被协助人ID</t>
  </si>
  <si>
    <t>罪恶值</t>
  </si>
  <si>
    <t>Evil</t>
  </si>
  <si>
    <t>evil_change</t>
  </si>
  <si>
    <t>罪恶值变更</t>
  </si>
  <si>
    <t>罪恶值变更时推送</t>
  </si>
  <si>
    <t>击杀玩家/时间恢复</t>
  </si>
  <si>
    <t>拖箱子</t>
  </si>
  <si>
    <t>Home</t>
  </si>
  <si>
    <t>home_power_change</t>
  </si>
  <si>
    <t>体力变更时推送</t>
  </si>
  <si>
    <t>tired_stage</t>
  </si>
  <si>
    <t>疲劳状态</t>
  </si>
  <si>
    <t>充沛、正常、疲惫、力竭</t>
  </si>
  <si>
    <t>1</t>
  </si>
  <si>
    <t>home_collect_finish</t>
  </si>
  <si>
    <t>采集完成</t>
  </si>
  <si>
    <t>采集＆抢夺完成时推送</t>
  </si>
  <si>
    <t>target_uid</t>
  </si>
  <si>
    <t>抢夺id</t>
  </si>
  <si>
    <t>target_name</t>
  </si>
  <si>
    <t>抢夺昵称</t>
  </si>
  <si>
    <t>灭霸</t>
  </si>
  <si>
    <t>resource_name</t>
  </si>
  <si>
    <t>采集资源</t>
  </si>
  <si>
    <t>精力/仙玉/宝石</t>
  </si>
  <si>
    <t>resource_lv</t>
  </si>
  <si>
    <t>资源等级</t>
  </si>
  <si>
    <t>resource_num</t>
  </si>
  <si>
    <t>资源数量</t>
  </si>
  <si>
    <t>worker_num</t>
  </si>
  <si>
    <t>采集人数</t>
  </si>
  <si>
    <t>time</t>
  </si>
  <si>
    <t>采集时间</t>
  </si>
  <si>
    <t>采集类型</t>
  </si>
  <si>
    <t>采集＆抢夺</t>
  </si>
  <si>
    <t>is_win</t>
  </si>
  <si>
    <t>home_set_num</t>
  </si>
  <si>
    <t>发起采集</t>
  </si>
  <si>
    <t>采集取消＆发起成时推送</t>
  </si>
  <si>
    <t>发起＆取消</t>
  </si>
  <si>
    <t>World</t>
  </si>
  <si>
    <t>world_boss</t>
  </si>
  <si>
    <t>玩家击杀世界BOSS后推送</t>
  </si>
  <si>
    <t>boss_lv</t>
  </si>
  <si>
    <t>BOSS等级</t>
  </si>
  <si>
    <r>
      <t/>
    </r>
    <r>
      <rPr>
        <b/>
        <sz val="10"/>
        <color rgb="FFffffff"/>
        <rFont val="微软雅黑"/>
        <family val="2"/>
      </rPr>
      <t>通用事件属性说明</t>
    </r>
  </si>
  <si>
    <r>
      <t/>
    </r>
    <r>
      <rPr>
        <b/>
        <sz val="10"/>
        <color rgb="FFffffff"/>
        <rFont val="微软雅黑"/>
        <family val="2"/>
      </rPr>
      <t>通用事件属性为所有自定事件都需要包含的属性，如在事件触发时，该属性无值，则留空。</t>
    </r>
    <r>
      <rPr>
        <sz val="10"/>
        <color rgb="FFffffff"/>
        <rFont val="微软雅黑"/>
        <family val="2"/>
      </rPr>
      <t xml:space="preserve">
</t>
    </r>
    <r>
      <rPr>
        <b/>
        <sz val="10"/>
        <color rgb="FFffffff"/>
        <rFont val="微软雅黑"/>
        <family val="2"/>
      </rPr>
      <t>通用事件属性均为自定义属性，与预置属性不同，预置属性是基于数数提供的客户端SDK自动采集的相关事件属性。</t>
    </r>
    <r>
      <rPr>
        <sz val="10"/>
        <color rgb="FFffffff"/>
        <rFont val="微软雅黑"/>
        <family val="2"/>
      </rPr>
      <t xml:space="preserve">
</t>
    </r>
    <r>
      <rPr>
        <b/>
        <sz val="10"/>
        <color rgb="FFffffff"/>
        <rFont val="微软雅黑"/>
        <family val="2"/>
      </rPr>
      <t>区别于用户属性，通用事件属性中的字段在不同的事件中是不同的，也就是说，事件中的通用事件属性会记录变化，而用户属性中的对应属性仅有最新值。因此，可根据需要选择有分析需求的通用事件属性，没需求可不添加。</t>
    </r>
  </si>
  <si>
    <r>
      <t/>
    </r>
    <r>
      <rPr>
        <b/>
        <sz val="10"/>
        <color rgb="FFffffff"/>
        <rFont val="微软雅黑"/>
        <family val="2"/>
      </rPr>
      <t>公共事件属性名</t>
    </r>
  </si>
  <si>
    <t>#event_time</t>
  </si>
  <si>
    <t>事件发生的时间</t>
  </si>
  <si>
    <t>#device_id</t>
  </si>
  <si>
    <t>设备号</t>
  </si>
  <si>
    <t>事件发生的设备号</t>
  </si>
  <si>
    <t>role_source</t>
  </si>
  <si>
    <t>注册渠道</t>
  </si>
  <si>
    <t>事件发生时玩家的所属注册渠道</t>
  </si>
  <si>
    <t>事件发生时玩家的账号（发行那边的账号）</t>
  </si>
  <si>
    <t>server_id</t>
  </si>
  <si>
    <t>事件发生时玩家的所属区服</t>
  </si>
  <si>
    <t>mix_id</t>
  </si>
  <si>
    <t>合服id</t>
  </si>
  <si>
    <t>事件发生时玩家的所属区服合服后的id</t>
  </si>
  <si>
    <t>line_id</t>
  </si>
  <si>
    <t>线路id</t>
  </si>
  <si>
    <t>事件发生时玩家的所属线路的id（longxin、lxhk、lxyn、lxtha）</t>
  </si>
  <si>
    <t>角色名称</t>
  </si>
  <si>
    <t>发生事件玩家的角色名称</t>
  </si>
  <si>
    <t>事件发生时玩家的等级</t>
  </si>
  <si>
    <t>role_vip_level</t>
  </si>
  <si>
    <t>VIP等级</t>
  </si>
  <si>
    <t>事件发生时玩家的VIP等级</t>
  </si>
  <si>
    <t>role_fp</t>
  </si>
  <si>
    <t>评分</t>
  </si>
  <si>
    <t>事件发生时玩家的战力</t>
  </si>
  <si>
    <t>事件发生时玩家的剩余元宝</t>
  </si>
  <si>
    <t>主线ID</t>
  </si>
  <si>
    <t>事件发生时玩家的主线ID</t>
  </si>
  <si>
    <t>maintask_status</t>
  </si>
  <si>
    <t>主线状态</t>
  </si>
  <si>
    <t>时间发生时玩家的主线状态；（完成/未完成）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</si>
</sst>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/m/d h:mm"/>
    <numFmt numFmtId="165" formatCode="#,##0%"/>
  </numFmts>
  <fonts count="22" x14ac:knownFonts="1">
    <font>
      <sz val="11"/>
      <color theme="1"/>
      <name val="Calibri"/>
      <family val="2"/>
      <scheme val="minor"/>
    </font>
    <font>
      <sz val="10"/>
      <color rgb="FF000000"/>
      <name val="微软雅黑"/>
      <family val="2"/>
    </font>
    <font>
      <sz val="10"/>
      <color rgb="FF202241"/>
      <name val="微软雅黑"/>
      <family val="2"/>
    </font>
    <font>
      <sz val="10"/>
      <color rgb="FF267ef0"/>
      <name val="微软雅黑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22"/>
      <color rgb="FF000000"/>
      <name val="Microsoft YaHei"/>
      <family val="2"/>
    </font>
    <font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1"/>
      <color rgb="FFff0000"/>
      <name val="微软雅黑"/>
      <family val="2"/>
    </font>
    <font>
      <sz val="12"/>
      <color rgb="FF000000"/>
      <name val="宋体"/>
      <family val="2"/>
    </font>
    <font>
      <sz val="10"/>
      <color rgb="FF000000"/>
      <name val="宋体"/>
      <family val="2"/>
    </font>
    <font>
      <b/>
      <sz val="10"/>
      <color rgb="FFffffff"/>
      <name val="微软雅黑"/>
      <family val="2"/>
    </font>
    <font>
      <sz val="10"/>
      <color rgb="FF000000"/>
      <name val="等线"/>
      <family val="2"/>
    </font>
    <font>
      <b/>
      <sz val="10"/>
      <color rgb="FFffffff"/>
      <name val="Microsoft YaHei"/>
      <family val="2"/>
    </font>
    <font>
      <sz val="10"/>
      <color rgb="FF262626"/>
      <name val="微软雅黑"/>
      <family val="2"/>
    </font>
    <font>
      <sz val="10"/>
      <color rgb="FF262626"/>
      <name val="Microsoft YaHei"/>
      <family val="2"/>
    </font>
    <font>
      <sz val="10"/>
      <color rgb="FFffffff"/>
      <name val="微软雅黑"/>
      <family val="2"/>
    </font>
    <font>
      <sz val="10"/>
      <color rgb="FFbfbfbf"/>
      <name val="微软雅黑"/>
      <family val="2"/>
    </font>
    <font>
      <sz val="11"/>
      <color rgb="FF000000"/>
      <name val="SimSun"/>
      <family val="2"/>
    </font>
    <font>
      <sz val="11"/>
      <color rgb="FF000000"/>
      <name val="宋体"/>
      <family val="2"/>
    </font>
    <font>
      <sz val="11"/>
      <color rgb="FF000000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8ea9db"/>
      </patternFill>
    </fill>
    <fill>
      <patternFill patternType="solid">
        <fgColor rgb="FF8cddfa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d9e1f2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58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4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2" applyBorder="1" fontId="6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3" applyBorder="1" fontId="7" applyFont="1" fillId="2" applyFill="1" applyAlignment="1">
      <alignment horizontal="center"/>
    </xf>
    <xf xfId="0" numFmtId="3" applyNumberFormat="1" borderId="3" applyBorder="1" fontId="7" applyFont="1" fillId="2" applyFill="1" applyAlignment="1">
      <alignment horizontal="center"/>
    </xf>
    <xf xfId="0" numFmtId="0" borderId="4" applyBorder="1" fontId="8" applyFont="1" fillId="0" applyAlignment="1">
      <alignment horizontal="center" vertical="top"/>
    </xf>
    <xf xfId="0" numFmtId="0" borderId="5" applyBorder="1" fontId="1" applyFont="1" fillId="0" applyAlignment="1">
      <alignment horizontal="center"/>
    </xf>
    <xf xfId="0" numFmtId="3" applyNumberFormat="1" borderId="6" applyBorder="1" fontId="8" applyFont="1" fillId="0" applyAlignment="1">
      <alignment horizontal="center"/>
    </xf>
    <xf xfId="0" numFmtId="3" applyNumberFormat="1" borderId="7" applyBorder="1" fontId="8" applyFont="1" fillId="0" applyAlignment="1">
      <alignment horizontal="center"/>
    </xf>
    <xf xfId="0" numFmtId="3" applyNumberFormat="1" borderId="8" applyBorder="1" fontId="8" applyFont="1" fillId="3" applyFill="1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0" borderId="4" applyBorder="1" fontId="1" applyFont="1" fillId="0" applyAlignment="1">
      <alignment horizontal="center"/>
    </xf>
    <xf xfId="0" numFmtId="0" borderId="9" applyBorder="1" fontId="1" applyFont="1" fillId="0" applyAlignment="1">
      <alignment horizontal="center"/>
    </xf>
    <xf xfId="0" numFmtId="3" applyNumberFormat="1" borderId="2" applyBorder="1" fontId="8" applyFont="1" fillId="0" applyAlignment="1">
      <alignment horizontal="center"/>
    </xf>
    <xf xfId="0" numFmtId="3" applyNumberFormat="1" borderId="10" applyBorder="1" fontId="8" applyFont="1" fillId="0" applyAlignment="1">
      <alignment horizontal="center"/>
    </xf>
    <xf xfId="0" numFmtId="3" applyNumberFormat="1" borderId="2" applyBorder="1" fontId="8" applyFont="1" fillId="3" applyFill="1" applyAlignment="1">
      <alignment horizontal="center"/>
    </xf>
    <xf xfId="0" numFmtId="0" borderId="11" applyBorder="1" fontId="1" applyFont="1" fillId="0" applyAlignment="1">
      <alignment horizontal="center"/>
    </xf>
    <xf xfId="0" numFmtId="3" applyNumberFormat="1" borderId="4" applyBorder="1" fontId="8" applyFont="1" fillId="0" applyAlignment="1">
      <alignment horizontal="center"/>
    </xf>
    <xf xfId="0" numFmtId="3" applyNumberFormat="1" borderId="12" applyBorder="1" fontId="8" applyFont="1" fillId="0" applyAlignment="1">
      <alignment horizontal="center"/>
    </xf>
    <xf xfId="0" numFmtId="3" applyNumberFormat="1" borderId="13" applyBorder="1" fontId="8" applyFont="1" fillId="3" applyFill="1" applyAlignment="1">
      <alignment horizontal="center"/>
    </xf>
    <xf xfId="0" numFmtId="0" borderId="14" applyBorder="1" fontId="1" applyFont="1" fillId="0" applyAlignment="1">
      <alignment horizontal="center"/>
    </xf>
    <xf xfId="0" numFmtId="0" borderId="2" applyBorder="1" fontId="8" applyFont="1" fillId="0" applyAlignment="1">
      <alignment horizontal="center"/>
    </xf>
    <xf xfId="0" numFmtId="0" borderId="5" applyBorder="1" fontId="8" applyFont="1" fillId="0" applyAlignment="1">
      <alignment horizontal="center"/>
    </xf>
    <xf xfId="0" numFmtId="0" borderId="9" applyBorder="1" fontId="8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 vertical="top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left"/>
    </xf>
    <xf xfId="0" numFmtId="0" borderId="2" applyBorder="1" fontId="1" applyFont="1" fillId="4" applyFill="1" applyAlignment="1">
      <alignment horizontal="center" vertical="top"/>
    </xf>
    <xf xfId="0" numFmtId="0" borderId="2" applyBorder="1" fontId="9" applyFont="1" fillId="4" applyFill="1" applyAlignment="1">
      <alignment horizontal="center"/>
    </xf>
    <xf xfId="0" numFmtId="3" applyNumberFormat="1" borderId="2" applyBorder="1" fontId="9" applyFont="1" fillId="4" applyFill="1" applyAlignment="1">
      <alignment horizontal="center"/>
    </xf>
    <xf xfId="0" numFmtId="3" applyNumberFormat="1" borderId="8" applyBorder="1" fontId="1" applyFont="1" fillId="4" applyFill="1" applyAlignment="1">
      <alignment horizontal="left"/>
    </xf>
    <xf xfId="0" numFmtId="3" applyNumberFormat="1" borderId="2" applyBorder="1" fontId="1" applyFont="1" fillId="4" applyFill="1" applyAlignment="1">
      <alignment horizontal="left"/>
    </xf>
    <xf xfId="0" numFmtId="0" borderId="15" applyBorder="1" fontId="10" applyFont="1" fillId="4" applyFill="1" applyAlignment="1">
      <alignment horizontal="center"/>
    </xf>
    <xf xfId="0" numFmtId="3" applyNumberFormat="1" borderId="2" applyBorder="1" fontId="11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2" applyFont="1" fillId="5" applyFill="1" applyAlignment="1">
      <alignment horizontal="center"/>
    </xf>
    <xf xfId="0" numFmtId="0" borderId="1" applyBorder="1" fontId="13" applyFont="1" fillId="0" applyAlignment="1">
      <alignment horizontal="left"/>
    </xf>
    <xf xfId="0" numFmtId="0" borderId="2" applyBorder="1" fontId="1" applyFont="1" fillId="6" applyFill="1" applyAlignment="1">
      <alignment horizontal="center"/>
    </xf>
    <xf xfId="0" numFmtId="0" borderId="2" applyBorder="1" fontId="14" applyFont="1" fillId="5" applyFill="1" applyAlignment="1">
      <alignment horizontal="center"/>
    </xf>
    <xf xfId="0" numFmtId="0" borderId="2" applyBorder="1" fontId="15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0" borderId="2" applyBorder="1" fontId="16" applyFont="1" fillId="0" applyAlignment="1">
      <alignment horizontal="left"/>
    </xf>
    <xf xfId="0" numFmtId="0" borderId="11" applyBorder="1" fontId="16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0" borderId="11" applyBorder="1" fontId="1" applyFont="1" fillId="0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0" borderId="2" applyBorder="1" fontId="17" applyFont="1" fillId="5" applyFill="1" applyAlignment="1">
      <alignment horizontal="center" vertical="top"/>
    </xf>
    <xf xfId="0" numFmtId="0" borderId="2" applyBorder="1" fontId="17" applyFont="1" fillId="5" applyFill="1" applyAlignment="1">
      <alignment horizontal="center"/>
    </xf>
    <xf xfId="0" numFmtId="3" applyNumberFormat="1" borderId="2" applyBorder="1" fontId="17" applyFont="1" fillId="5" applyFill="1" applyAlignment="1">
      <alignment horizontal="center"/>
    </xf>
    <xf xfId="0" numFmtId="0" borderId="11" applyBorder="1" fontId="1" applyFont="1" fillId="0" applyAlignment="1">
      <alignment horizontal="center" vertical="top"/>
    </xf>
    <xf xfId="0" numFmtId="0" borderId="4" applyBorder="1" fontId="1" applyFont="1" fillId="0" applyAlignment="1">
      <alignment horizontal="center" vertical="top"/>
    </xf>
    <xf xfId="0" numFmtId="0" borderId="2" applyBorder="1" fontId="8" applyFont="1" fillId="4" applyFill="1" applyAlignment="1">
      <alignment horizontal="center" vertical="top"/>
    </xf>
    <xf xfId="0" numFmtId="0" borderId="2" applyBorder="1" fontId="1" applyFont="1" fillId="4" applyFill="1" applyAlignment="1">
      <alignment horizontal="center"/>
    </xf>
    <xf xfId="0" numFmtId="3" applyNumberFormat="1" borderId="2" applyBorder="1" fontId="1" applyFont="1" fillId="4" applyFill="1" applyAlignment="1">
      <alignment horizontal="center"/>
    </xf>
    <xf xfId="0" numFmtId="0" borderId="16" applyBorder="1" fontId="1" applyFont="1" fillId="0" applyAlignment="1">
      <alignment horizontal="left"/>
    </xf>
    <xf xfId="0" numFmtId="0" borderId="17" applyBorder="1" fontId="1" applyFont="1" fillId="0" applyAlignment="1">
      <alignment horizontal="left"/>
    </xf>
    <xf xfId="0" numFmtId="0" borderId="13" applyBorder="1" fontId="1" applyFont="1" fillId="4" applyFill="1" applyAlignment="1">
      <alignment horizontal="left"/>
    </xf>
    <xf xfId="0" numFmtId="0" borderId="18" applyBorder="1" fontId="1" applyFont="1" fillId="0" applyAlignment="1">
      <alignment horizontal="left"/>
    </xf>
    <xf xfId="0" numFmtId="3" applyNumberFormat="1" borderId="17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15" applyBorder="1" fontId="8" applyFont="1" fillId="4" applyFill="1" applyAlignment="1">
      <alignment horizontal="center"/>
    </xf>
    <xf xfId="0" numFmtId="3" applyNumberFormat="1" borderId="2" applyBorder="1" fontId="8" applyFont="1" fillId="4" applyFill="1" applyAlignment="1">
      <alignment horizontal="center"/>
    </xf>
    <xf xfId="0" numFmtId="3" applyNumberFormat="1" borderId="17" applyBorder="1" fontId="1" applyFont="1" fillId="0" applyAlignment="1">
      <alignment horizontal="left"/>
    </xf>
    <xf xfId="0" numFmtId="0" borderId="17" applyBorder="1" fontId="8" applyFont="1" fillId="0" applyAlignment="1">
      <alignment horizontal="center" vertical="top"/>
    </xf>
    <xf xfId="0" numFmtId="0" borderId="6" applyBorder="1" fontId="8" applyFont="1" fillId="0" applyAlignment="1">
      <alignment horizontal="center" vertical="top"/>
    </xf>
    <xf xfId="0" numFmtId="0" borderId="6" applyBorder="1" fontId="1" applyFont="1" fillId="0" applyAlignment="1">
      <alignment horizontal="left"/>
    </xf>
    <xf xfId="0" numFmtId="0" borderId="17" applyBorder="1" fontId="1" applyFont="1" fillId="0" applyAlignment="1">
      <alignment horizontal="center" vertical="top"/>
    </xf>
    <xf xfId="0" numFmtId="0" borderId="18" applyBorder="1" fontId="1" applyFont="1" fillId="0" applyAlignment="1">
      <alignment horizontal="center" vertical="top"/>
    </xf>
    <xf xfId="0" numFmtId="3" applyNumberFormat="1" borderId="6" applyBorder="1" fontId="1" applyFont="1" fillId="0" applyAlignment="1">
      <alignment horizontal="right"/>
    </xf>
    <xf xfId="0" numFmtId="0" borderId="19" applyBorder="1" fontId="1" applyFont="1" fillId="0" applyAlignment="1">
      <alignment horizontal="left"/>
    </xf>
    <xf xfId="0" numFmtId="0" borderId="6" applyBorder="1" fontId="1" applyFont="1" fillId="0" applyAlignment="1">
      <alignment horizontal="center" vertical="top"/>
    </xf>
    <xf xfId="0" numFmtId="3" applyNumberFormat="1" borderId="4" applyBorder="1" fontId="1" applyFont="1" fillId="0" applyAlignment="1">
      <alignment horizontal="right"/>
    </xf>
    <xf xfId="0" numFmtId="164" applyNumberFormat="1" borderId="2" applyBorder="1" fontId="1" applyFont="1" fillId="0" applyAlignment="1">
      <alignment horizontal="center"/>
    </xf>
    <xf xfId="0" numFmtId="0" borderId="1" applyBorder="1" fontId="18" applyFont="1" fillId="0" applyAlignment="1">
      <alignment horizontal="left"/>
    </xf>
    <xf xfId="0" numFmtId="3" applyNumberFormat="1" borderId="4" applyBorder="1" fontId="18" applyFont="1" fillId="0" applyAlignment="1">
      <alignment horizontal="right"/>
    </xf>
    <xf xfId="0" numFmtId="3" applyNumberFormat="1" borderId="17" applyBorder="1" fontId="18" applyFont="1" fillId="0" applyAlignment="1">
      <alignment horizontal="right"/>
    </xf>
    <xf xfId="0" numFmtId="3" applyNumberFormat="1" borderId="6" applyBorder="1" fontId="18" applyFont="1" fillId="0" applyAlignment="1">
      <alignment horizontal="right"/>
    </xf>
    <xf xfId="0" numFmtId="0" borderId="16" applyBorder="1" fontId="1" applyFont="1" fillId="0" applyAlignment="1">
      <alignment horizontal="center"/>
    </xf>
    <xf xfId="0" numFmtId="0" borderId="2" applyBorder="1" fontId="8" applyFont="1" fillId="4" applyFill="1" applyAlignment="1">
      <alignment horizontal="center"/>
    </xf>
    <xf xfId="0" numFmtId="0" borderId="16" applyBorder="1" fontId="1" applyFont="1" fillId="0" applyAlignment="1">
      <alignment horizontal="center" vertical="top"/>
    </xf>
    <xf xfId="0" numFmtId="0" borderId="2" applyBorder="1" fontId="8" applyFont="1" fillId="0" applyAlignment="1">
      <alignment horizontal="center" vertical="top"/>
    </xf>
    <xf xfId="0" numFmtId="0" borderId="5" applyBorder="1" fontId="1" applyFont="1" fillId="0" applyAlignment="1">
      <alignment horizontal="left"/>
    </xf>
    <xf xfId="0" numFmtId="0" borderId="16" applyBorder="1" fontId="8" applyFont="1" fillId="0" applyAlignment="1">
      <alignment horizontal="center" vertical="top"/>
    </xf>
    <xf xfId="0" numFmtId="0" borderId="20" applyBorder="1" fontId="1" applyFont="1" fillId="0" applyAlignment="1">
      <alignment horizontal="left"/>
    </xf>
    <xf xfId="0" numFmtId="0" borderId="4" applyBorder="1" fontId="8" applyFont="1" fillId="0" applyAlignment="1">
      <alignment horizontal="center"/>
    </xf>
    <xf xfId="0" numFmtId="0" borderId="11" applyBorder="1" fontId="8" applyFont="1" fillId="0" applyAlignment="1">
      <alignment horizontal="center" vertical="top"/>
    </xf>
    <xf xfId="0" numFmtId="0" borderId="6" applyBorder="1" fontId="1" applyFont="1" fillId="0" applyAlignment="1">
      <alignment horizontal="center"/>
    </xf>
    <xf xfId="0" numFmtId="0" borderId="6" applyBorder="1" fontId="8" applyFont="1" fillId="0" applyAlignment="1">
      <alignment horizontal="center"/>
    </xf>
    <xf xfId="0" numFmtId="0" borderId="13" applyBorder="1" fontId="1" applyFont="1" fillId="7" applyFill="1" applyAlignment="1">
      <alignment horizontal="center" vertical="top"/>
    </xf>
    <xf xfId="0" numFmtId="0" borderId="21" applyBorder="1" fontId="1" applyFont="1" fillId="7" applyFill="1" applyAlignment="1">
      <alignment horizontal="center" vertical="top"/>
    </xf>
    <xf xfId="0" numFmtId="0" borderId="8" applyBorder="1" fontId="1" applyFont="1" fillId="7" applyFill="1" applyAlignment="1">
      <alignment horizontal="center"/>
    </xf>
    <xf xfId="0" numFmtId="0" borderId="2" applyBorder="1" fontId="1" applyFont="1" fillId="7" applyFill="1" applyAlignment="1">
      <alignment horizontal="center"/>
    </xf>
    <xf xfId="0" numFmtId="0" borderId="2" applyBorder="1" fontId="1" applyFont="1" fillId="8" applyFill="1" applyAlignment="1">
      <alignment horizontal="center"/>
    </xf>
    <xf xfId="0" numFmtId="3" applyNumberFormat="1" borderId="20" applyBorder="1" fontId="1" applyFont="1" fillId="0" applyAlignment="1">
      <alignment horizontal="center"/>
    </xf>
    <xf xfId="0" numFmtId="0" borderId="2" applyBorder="1" fontId="8" applyFont="1" fillId="3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3" applyNumberFormat="1" borderId="2" applyBorder="1" fontId="1" applyFont="1" fillId="3" applyFill="1" applyAlignment="1">
      <alignment horizontal="center"/>
    </xf>
    <xf xfId="0" numFmtId="0" borderId="13" applyBorder="1" fontId="1" applyFont="1" fillId="4" applyFill="1" applyAlignment="1">
      <alignment horizontal="center" vertical="top"/>
    </xf>
    <xf xfId="0" numFmtId="0" borderId="13" applyBorder="1" fontId="8" applyFont="1" fillId="4" applyFill="1" applyAlignment="1">
      <alignment horizontal="center" vertical="top"/>
    </xf>
    <xf xfId="0" numFmtId="0" borderId="12" applyBorder="1" fontId="1" applyFont="1" fillId="0" applyAlignment="1">
      <alignment horizontal="center" vertical="top"/>
    </xf>
    <xf xfId="0" numFmtId="49" applyNumberFormat="1" borderId="2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5" applyNumberFormat="1" borderId="2" applyBorder="1" fontId="1" applyFont="1" fillId="0" applyAlignment="1">
      <alignment horizontal="center"/>
    </xf>
    <xf xfId="0" numFmtId="0" borderId="20" applyBorder="1" fontId="8" applyFont="1" fillId="0" applyAlignment="1">
      <alignment horizontal="center"/>
    </xf>
    <xf xfId="0" numFmtId="0" borderId="14" applyBorder="1" fontId="8" applyFont="1" fillId="0" applyAlignment="1">
      <alignment horizontal="center"/>
    </xf>
    <xf xfId="0" numFmtId="165" applyNumberFormat="1" borderId="4" applyBorder="1" fontId="1" applyFont="1" fillId="0" applyAlignment="1">
      <alignment horizontal="center"/>
    </xf>
    <xf xfId="0" numFmtId="3" applyNumberFormat="1" borderId="6" applyBorder="1" fontId="1" applyFont="1" fillId="0" applyAlignment="1">
      <alignment horizontal="center"/>
    </xf>
    <xf xfId="0" numFmtId="0" borderId="22" applyBorder="1" fontId="1" applyFont="1" fillId="4" applyFill="1" applyAlignment="1">
      <alignment horizontal="center"/>
    </xf>
    <xf xfId="0" numFmtId="3" applyNumberFormat="1" borderId="22" applyBorder="1" fontId="1" applyFont="1" fillId="4" applyFill="1" applyAlignment="1">
      <alignment horizontal="center"/>
    </xf>
    <xf xfId="0" numFmtId="0" borderId="9" applyBorder="1" fontId="1" applyFont="1" fillId="0" applyAlignment="1">
      <alignment horizontal="center" vertical="top"/>
    </xf>
    <xf xfId="0" numFmtId="0" borderId="13" applyBorder="1" fontId="1" applyFont="1" fillId="4" applyFill="1" applyAlignment="1">
      <alignment horizontal="center"/>
    </xf>
    <xf xfId="0" numFmtId="3" applyNumberFormat="1" borderId="13" applyBorder="1" fontId="1" applyFont="1" fillId="4" applyFill="1" applyAlignment="1">
      <alignment horizontal="center"/>
    </xf>
    <xf xfId="0" numFmtId="0" borderId="6" applyBorder="1" fontId="16" applyFont="1" fillId="0" applyAlignment="1">
      <alignment horizontal="center"/>
    </xf>
    <xf xfId="0" numFmtId="0" borderId="2" applyBorder="1" fontId="16" applyFont="1" fillId="0" applyAlignment="1">
      <alignment horizontal="center"/>
    </xf>
    <xf xfId="0" numFmtId="0" borderId="14" applyBorder="1" fontId="1" applyFont="1" fillId="0" applyAlignment="1">
      <alignment horizontal="center" vertical="top"/>
    </xf>
    <xf xfId="0" numFmtId="0" borderId="20" applyBorder="1" fontId="1" applyFont="1" fillId="0" applyAlignment="1">
      <alignment horizontal="center" vertical="top"/>
    </xf>
    <xf xfId="0" numFmtId="0" borderId="5" applyBorder="1" fontId="1" applyFont="1" fillId="0" applyAlignment="1">
      <alignment horizontal="center" vertical="top"/>
    </xf>
    <xf xfId="0" numFmtId="0" borderId="2" applyBorder="1" fontId="19" applyFont="1" fillId="0" applyAlignment="1">
      <alignment horizontal="center"/>
    </xf>
    <xf xfId="0" numFmtId="3" applyNumberFormat="1" borderId="2" applyBorder="1" fontId="20" applyFont="1" fillId="0" applyAlignment="1">
      <alignment horizontal="center"/>
    </xf>
    <xf xfId="0" numFmtId="0" borderId="20" applyBorder="1" fontId="1" applyFont="1" fillId="0" applyAlignment="1">
      <alignment horizontal="center"/>
    </xf>
    <xf xfId="0" numFmtId="0" borderId="9" applyBorder="1" fontId="8" applyFont="1" fillId="0" applyAlignment="1">
      <alignment horizontal="center" vertical="top"/>
    </xf>
    <xf xfId="0" numFmtId="0" borderId="14" applyBorder="1" fontId="1" applyFont="1" fillId="0" applyAlignment="1">
      <alignment horizontal="left"/>
    </xf>
    <xf xfId="0" numFmtId="0" borderId="11" applyBorder="1" fontId="8" applyFont="1" fillId="0" applyAlignment="1">
      <alignment horizontal="center"/>
    </xf>
    <xf xfId="0" numFmtId="0" borderId="21" applyBorder="1" fontId="1" applyFont="1" fillId="4" applyFill="1" applyAlignment="1">
      <alignment horizontal="center" vertical="top"/>
    </xf>
    <xf xfId="0" numFmtId="0" borderId="13" applyBorder="1" fontId="1" applyFont="1" fillId="4" applyFill="1" applyAlignment="1">
      <alignment horizontal="left" vertical="top"/>
    </xf>
    <xf xfId="0" numFmtId="0" borderId="15" applyBorder="1" fontId="8" applyFont="1" fillId="4" applyFill="1" applyAlignment="1">
      <alignment horizontal="center" vertical="top"/>
    </xf>
    <xf xfId="0" numFmtId="0" borderId="23" applyBorder="1" fontId="8" applyFont="1" fillId="4" applyFill="1" applyAlignment="1">
      <alignment horizontal="center"/>
    </xf>
    <xf xfId="0" numFmtId="49" applyNumberFormat="1" borderId="2" applyBorder="1" fontId="8" applyFont="1" fillId="4" applyFill="1" applyAlignment="1">
      <alignment horizontal="center"/>
    </xf>
    <xf xfId="0" numFmtId="0" borderId="24" applyBorder="1" fontId="1" applyFont="1" fillId="4" applyFill="1" applyAlignment="1">
      <alignment horizontal="center" vertical="top"/>
    </xf>
    <xf xfId="0" numFmtId="0" borderId="15" applyBorder="1" fontId="1" applyFont="1" fillId="4" applyFill="1" applyAlignment="1">
      <alignment horizontal="center" vertical="top"/>
    </xf>
    <xf xfId="0" numFmtId="0" borderId="1" applyBorder="1" fontId="8" applyFont="1" fillId="0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25" applyBorder="1" fontId="12" applyFont="1" fillId="9" applyFill="1" applyAlignment="1">
      <alignment horizontal="center"/>
    </xf>
    <xf xfId="0" numFmtId="0" borderId="25" applyBorder="1" fontId="12" applyFont="1" fillId="9" applyFill="1" applyAlignment="1">
      <alignment horizontal="center" vertical="top"/>
    </xf>
    <xf xfId="0" numFmtId="0" borderId="8" applyBorder="1" fontId="12" applyFont="1" fillId="5" applyFill="1" applyAlignment="1">
      <alignment horizontal="center"/>
    </xf>
    <xf xfId="0" numFmtId="0" borderId="2" applyBorder="1" fontId="8" applyFont="1" fillId="4" applyFill="1" applyAlignment="1">
      <alignment horizontal="left"/>
    </xf>
    <xf xfId="0" numFmtId="0" borderId="2" applyBorder="1" fontId="1" applyFont="1" fillId="10" applyFill="1" applyAlignment="1">
      <alignment horizontal="left"/>
    </xf>
    <xf xfId="0" numFmtId="0" borderId="2" applyBorder="1" fontId="15" applyFont="1" fillId="10" applyFill="1" applyAlignment="1">
      <alignment horizontal="left"/>
    </xf>
    <xf xfId="0" numFmtId="0" borderId="4" applyBorder="1" fontId="15" applyFont="1" fillId="0" applyAlignment="1">
      <alignment horizontal="left"/>
    </xf>
    <xf xfId="0" numFmtId="0" borderId="2" applyBorder="1" fontId="2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01"/>
  <sheetViews>
    <sheetView workbookViewId="0"/>
  </sheetViews>
  <sheetFormatPr defaultRowHeight="15" x14ac:dyDescent="0.25"/>
  <cols>
    <col min="1" max="1" style="5" width="25.005" customWidth="1" bestFit="1"/>
    <col min="2" max="2" style="5" width="19.005" customWidth="1" bestFit="1"/>
    <col min="3" max="3" style="5" width="15.005" customWidth="1" bestFit="1"/>
    <col min="4" max="4" style="5" width="109.005" customWidth="1" bestFit="1"/>
    <col min="5" max="5" style="5" width="14.005" customWidth="1" bestFit="1"/>
    <col min="6" max="6" style="46" width="14.005" customWidth="1" bestFit="1"/>
    <col min="7" max="7" style="5" width="14.005" customWidth="1" bestFit="1"/>
    <col min="8" max="8" style="5" width="14.005" customWidth="1" bestFit="1"/>
    <col min="9" max="9" style="5" width="14.005" customWidth="1" bestFit="1"/>
    <col min="10" max="10" style="5" width="14.005" customWidth="1" bestFit="1"/>
    <col min="11" max="11" style="5" width="14.005" customWidth="1" bestFit="1"/>
    <col min="12" max="12" style="5" width="14.005" customWidth="1" bestFit="1"/>
    <col min="13" max="13" style="5" width="14.005" customWidth="1" bestFit="1"/>
    <col min="14" max="14" style="5" width="14.005" customWidth="1" bestFit="1"/>
    <col min="15" max="15" style="5" width="14.005" customWidth="1" bestFit="1"/>
    <col min="16" max="16" style="5" width="14.005" customWidth="1" bestFit="1"/>
    <col min="17" max="17" style="5" width="14.005" customWidth="1" bestFit="1"/>
    <col min="18" max="18" style="5" width="14.005" customWidth="1" bestFit="1"/>
    <col min="19" max="19" style="5" width="14.005" customWidth="1" bestFit="1"/>
    <col min="20" max="20" style="5" width="14.005" customWidth="1" bestFit="1"/>
    <col min="21" max="21" style="5" width="14.005" customWidth="1" bestFit="1"/>
    <col min="22" max="22" style="5" width="14.005" customWidth="1" bestFit="1"/>
    <col min="23" max="23" style="5" width="14.005" customWidth="1" bestFit="1"/>
    <col min="24" max="24" style="5" width="14.005" customWidth="1" bestFit="1"/>
    <col min="25" max="25" style="5" width="14.005" customWidth="1" bestFit="1"/>
    <col min="26" max="26" style="5" width="14.005" customWidth="1" bestFit="1"/>
  </cols>
  <sheetData>
    <row x14ac:dyDescent="0.25" r="1" customHeight="1" ht="19.5">
      <c r="A1" s="150" t="s">
        <v>1461</v>
      </c>
      <c r="B1" s="85"/>
      <c r="C1" s="85"/>
      <c r="D1" s="85"/>
      <c r="E1" s="1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23.25">
      <c r="A2" s="151" t="s">
        <v>1462</v>
      </c>
      <c r="B2" s="85"/>
      <c r="C2" s="85"/>
      <c r="D2" s="85"/>
      <c r="E2" s="1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23.25">
      <c r="A3" s="85"/>
      <c r="B3" s="85"/>
      <c r="C3" s="85"/>
      <c r="D3" s="85"/>
      <c r="E3" s="1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9.5">
      <c r="A4" s="152" t="s">
        <v>1463</v>
      </c>
      <c r="B4" s="152" t="s">
        <v>443</v>
      </c>
      <c r="C4" s="152" t="s">
        <v>444</v>
      </c>
      <c r="D4" s="152" t="s">
        <v>446</v>
      </c>
      <c r="E4" s="1"/>
      <c r="F4" s="11" t="s">
        <v>536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31.5">
      <c r="A5" s="35" t="s">
        <v>1464</v>
      </c>
      <c r="B5" s="53" t="s">
        <v>468</v>
      </c>
      <c r="C5" s="35" t="s">
        <v>468</v>
      </c>
      <c r="D5" s="35" t="s">
        <v>1465</v>
      </c>
      <c r="E5" s="1"/>
      <c r="F5" s="6">
        <f>CHAR(10)&amp;"'"&amp;A5&amp;"' =&gt; ("&amp;IF(C5="字符串","string)",IF(C5="数值","int)",IF(C5="布尔","bool)","int)time")))&amp;" _, //"&amp;D5&amp;", 如: "&amp;D5</f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31.5">
      <c r="A6" s="35" t="s">
        <v>1466</v>
      </c>
      <c r="B6" s="53" t="s">
        <v>1467</v>
      </c>
      <c r="C6" s="35" t="s">
        <v>460</v>
      </c>
      <c r="D6" s="35" t="s">
        <v>1468</v>
      </c>
      <c r="E6" s="1"/>
      <c r="F6" s="6">
        <f>CHAR(10)&amp;"'"&amp;A6&amp;"' =&gt; ("&amp;IF(C6="字符串","string)",IF(C6="数值","int)",IF(C6="布尔","bool)","int)time")))&amp;" _, //"&amp;D6&amp;", 如: "&amp;D6</f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31.5">
      <c r="A7" s="35" t="s">
        <v>1469</v>
      </c>
      <c r="B7" s="53" t="s">
        <v>1470</v>
      </c>
      <c r="C7" s="35" t="s">
        <v>460</v>
      </c>
      <c r="D7" s="35" t="s">
        <v>1471</v>
      </c>
      <c r="E7" s="1"/>
      <c r="F7" s="6">
        <f>CHAR(10)&amp;"'"&amp;A7&amp;"' =&gt; ("&amp;IF(C7="字符串","string)",IF(C7="数值","int)",IF(C7="布尔","bool)","int)time")))&amp;" _, //"&amp;D7&amp;", 如: "&amp;D7</f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9.5">
      <c r="A8" s="35" t="s">
        <v>452</v>
      </c>
      <c r="B8" s="153" t="s">
        <v>1111</v>
      </c>
      <c r="C8" s="153" t="s">
        <v>460</v>
      </c>
      <c r="D8" s="153" t="s">
        <v>1472</v>
      </c>
      <c r="E8" s="2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31.5">
      <c r="A9" s="35" t="s">
        <v>447</v>
      </c>
      <c r="B9" s="35" t="s">
        <v>448</v>
      </c>
      <c r="C9" s="35" t="s">
        <v>460</v>
      </c>
      <c r="D9" s="35" t="s">
        <v>451</v>
      </c>
      <c r="E9" s="1"/>
      <c r="F9" s="6">
        <f>CHAR(10)&amp;"'"&amp;A9&amp;"' =&gt; ("&amp;IF(C9="字符串","string)",IF(C9="数值","int)",IF(C9="布尔","bool)","int)time")))&amp;" _, //"&amp;D9&amp;", 如: "&amp;D9</f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31.5">
      <c r="A10" s="35" t="s">
        <v>1473</v>
      </c>
      <c r="B10" s="53" t="s">
        <v>459</v>
      </c>
      <c r="C10" s="35" t="s">
        <v>460</v>
      </c>
      <c r="D10" s="35" t="s">
        <v>1474</v>
      </c>
      <c r="E10" s="1"/>
      <c r="F10" s="6">
        <f>CHAR(10)&amp;"'"&amp;A10&amp;"' =&gt; ("&amp;IF(C10="字符串","string)",IF(C10="数值","int)",IF(C10="布尔","bool)","int)time")))&amp;" _, //"&amp;D10&amp;", 如: "&amp;D10</f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31.5">
      <c r="A11" s="35" t="s">
        <v>1475</v>
      </c>
      <c r="B11" s="53" t="s">
        <v>1476</v>
      </c>
      <c r="C11" s="35" t="s">
        <v>460</v>
      </c>
      <c r="D11" s="35" t="s">
        <v>1477</v>
      </c>
      <c r="E11" s="1"/>
      <c r="F11" s="6">
        <f>CHAR(10)&amp;"'"&amp;A11&amp;"' =&gt; ("&amp;IF(C11="字符串","string)",IF(C11="数值","int)",IF(C11="布尔","bool)","int)time")))&amp;" _, //"&amp;D11&amp;", 如: "&amp;D11</f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31.5">
      <c r="A12" s="154" t="s">
        <v>1478</v>
      </c>
      <c r="B12" s="155" t="s">
        <v>1479</v>
      </c>
      <c r="C12" s="154" t="s">
        <v>460</v>
      </c>
      <c r="D12" s="154" t="s">
        <v>1480</v>
      </c>
      <c r="E12" s="1"/>
      <c r="F12" s="6">
        <f>CHAR(10)&amp;"'"&amp;A12&amp;"' =&gt; ("&amp;IF(C12="字符串","string)",IF(C12="数值","int)",IF(C12="布尔","bool)","int)time")))&amp;" _, //"&amp;D12&amp;", 如: "&amp;D12</f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31.5">
      <c r="A13" s="35" t="s">
        <v>455</v>
      </c>
      <c r="B13" s="53" t="s">
        <v>1481</v>
      </c>
      <c r="C13" s="35" t="s">
        <v>460</v>
      </c>
      <c r="D13" s="35" t="s">
        <v>1482</v>
      </c>
      <c r="E13" s="1"/>
      <c r="F13" s="6">
        <f>CHAR(10)&amp;"'"&amp;A13&amp;"' =&gt; ("&amp;IF(C13="字符串","string)",IF(C13="数值","int)",IF(C13="布尔","bool)","int)time")))&amp;" _, //"&amp;D13&amp;", 如: "&amp;D13</f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31.5">
      <c r="A14" s="35" t="s">
        <v>626</v>
      </c>
      <c r="B14" s="53" t="s">
        <v>138</v>
      </c>
      <c r="C14" s="35" t="s">
        <v>481</v>
      </c>
      <c r="D14" s="35" t="s">
        <v>1483</v>
      </c>
      <c r="E14" s="1"/>
      <c r="F14" s="6">
        <f>CHAR(10)&amp;"'"&amp;A14&amp;"' =&gt; ("&amp;IF(C14="字符串","string)",IF(C14="数值","int)",IF(C14="布尔","bool)","int)time")))&amp;" _, //"&amp;D14&amp;", 如: "&amp;D14</f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31.5">
      <c r="A15" s="35" t="s">
        <v>1484</v>
      </c>
      <c r="B15" s="53" t="s">
        <v>1485</v>
      </c>
      <c r="C15" s="35" t="s">
        <v>481</v>
      </c>
      <c r="D15" s="35" t="s">
        <v>1486</v>
      </c>
      <c r="E15" s="1"/>
      <c r="F15" s="6">
        <f>CHAR(10)&amp;"'"&amp;A15&amp;"' =&gt; ("&amp;IF(C15="字符串","string)",IF(C15="数值","int)",IF(C15="布尔","bool)","int)time")))&amp;" _, //"&amp;D15&amp;", 如: "&amp;D15</f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31.5">
      <c r="A16" s="54" t="s">
        <v>1487</v>
      </c>
      <c r="B16" s="55" t="s">
        <v>1488</v>
      </c>
      <c r="C16" s="35" t="s">
        <v>481</v>
      </c>
      <c r="D16" s="35" t="s">
        <v>1489</v>
      </c>
      <c r="E16" s="1"/>
      <c r="F16" s="6">
        <f>CHAR(10)&amp;"'"&amp;A16&amp;"' =&gt; ("&amp;IF(C16="字符串","string)",IF(C16="数值","int)",IF(C16="布尔","bool)","int)time")))&amp;" _, //"&amp;D16&amp;", 如: "&amp;D16</f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31.5">
      <c r="A17" s="57" t="s">
        <v>495</v>
      </c>
      <c r="B17" s="156" t="s">
        <v>496</v>
      </c>
      <c r="C17" s="57" t="s">
        <v>481</v>
      </c>
      <c r="D17" s="57" t="s">
        <v>1490</v>
      </c>
      <c r="E17" s="1"/>
      <c r="F17" s="6">
        <f>CHAR(10)&amp;"'"&amp;A17&amp;"' =&gt; ("&amp;IF(C17="字符串","string)",IF(C17="数值","int)",IF(C17="布尔","bool)","int)time")))&amp;" _, //"&amp;D17&amp;", 如: "&amp;D17</f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31.5">
      <c r="A18" s="157" t="s">
        <v>621</v>
      </c>
      <c r="B18" s="35" t="s">
        <v>1491</v>
      </c>
      <c r="C18" s="35" t="s">
        <v>481</v>
      </c>
      <c r="D18" s="35" t="s">
        <v>1492</v>
      </c>
      <c r="E18" s="1"/>
      <c r="F18" s="6">
        <f>CHAR(10)&amp;"'"&amp;A18&amp;"' =&gt; ("&amp;IF(C18="字符串","string)",IF(C18="数值","int)",IF(C18="布尔","bool)","int)time")))&amp;" _, //"&amp;D18&amp;", 如: "&amp;D18</f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">
      <c r="A19" s="157" t="s">
        <v>1493</v>
      </c>
      <c r="B19" s="35" t="s">
        <v>1494</v>
      </c>
      <c r="C19" s="35" t="s">
        <v>460</v>
      </c>
      <c r="D19" s="35" t="s">
        <v>1495</v>
      </c>
      <c r="E19" s="1"/>
      <c r="F19" s="6">
        <f>CHAR(10)&amp;"'"&amp;A19&amp;"' =&gt; ("&amp;IF(C19="字符串","string)",IF(C19="数值","int)",IF(C19="布尔","bool)","int)time")))&amp;" _, //"&amp;D19&amp;", 如: "&amp;D19</f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">
      <c r="A20" s="1"/>
      <c r="B20" s="2"/>
      <c r="C20" s="1"/>
      <c r="D20" s="1"/>
      <c r="E20" s="1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2"/>
      <c r="C22" s="1"/>
      <c r="D22" s="1"/>
      <c r="E22" s="1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2"/>
      <c r="C23" s="1"/>
      <c r="D23" s="1"/>
      <c r="E23" s="1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2"/>
      <c r="C24" s="2"/>
      <c r="D24" s="2"/>
      <c r="E24" s="1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8">
      <c r="A201" s="1"/>
      <c r="B201" s="1"/>
      <c r="C201" s="1"/>
      <c r="D201" s="1"/>
      <c r="E201" s="1"/>
      <c r="F201" s="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</sheetData>
  <mergeCells count="2">
    <mergeCell ref="A1:D1"/>
    <mergeCell ref="A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505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148" width="21.005" customWidth="1" bestFit="1"/>
    <col min="2" max="2" style="48" width="21.005" customWidth="1" bestFit="1"/>
    <col min="3" max="3" style="148" width="39.005" customWidth="1" bestFit="1"/>
    <col min="4" max="4" style="148" width="37.005" customWidth="1" bestFit="1"/>
    <col min="5" max="5" style="148" width="61.005" customWidth="1" bestFit="1"/>
    <col min="6" max="6" style="148" width="20.005" customWidth="1" bestFit="1"/>
    <col min="7" max="7" style="148" width="20.005" customWidth="1" bestFit="1"/>
    <col min="8" max="8" style="149" width="37.005" customWidth="1" bestFit="1"/>
    <col min="9" max="9" style="148" width="8.005" customWidth="1" bestFit="1"/>
    <col min="10" max="10" style="46" width="5.005" customWidth="1" bestFit="1"/>
    <col min="11" max="11" style="5" width="27.005" customWidth="1" bestFit="1"/>
    <col min="12" max="12" style="5" width="6.005" customWidth="1" bestFit="1"/>
    <col min="13" max="13" style="46" width="53.005" customWidth="1" bestFit="1"/>
    <col min="14" max="14" style="5" width="14.005" customWidth="1" bestFit="1"/>
    <col min="15" max="15" style="5" width="14.005" customWidth="1" bestFit="1"/>
    <col min="16" max="16" style="5" width="14.005" customWidth="1" bestFit="1"/>
    <col min="17" max="17" style="5" width="14.005" customWidth="1" bestFit="1"/>
    <col min="18" max="18" style="5" width="14.005" customWidth="1" bestFit="1"/>
    <col min="19" max="19" style="5" width="14.005" customWidth="1" bestFit="1"/>
    <col min="20" max="20" style="5" width="14.005" customWidth="1" bestFit="1"/>
    <col min="21" max="21" style="5" width="14.005" customWidth="1" bestFit="1"/>
    <col min="22" max="22" style="5" width="14.005" customWidth="1" bestFit="1"/>
    <col min="23" max="23" style="5" width="14.005" customWidth="1" bestFit="1"/>
    <col min="24" max="24" style="5" width="14.005" customWidth="1" bestFit="1"/>
    <col min="25" max="25" style="5" width="14.005" customWidth="1" bestFit="1"/>
    <col min="26" max="26" style="5" width="14.005" customWidth="1" bestFit="1"/>
    <col min="27" max="27" style="5" width="14.005" customWidth="1" bestFit="1"/>
  </cols>
  <sheetData>
    <row x14ac:dyDescent="0.25" r="1" customHeight="1" ht="18">
      <c r="A1" s="49" t="s">
        <v>521</v>
      </c>
      <c r="B1" s="49"/>
      <c r="C1" s="35"/>
      <c r="D1" s="35"/>
      <c r="E1" s="35"/>
      <c r="F1" s="35"/>
      <c r="G1" s="35"/>
      <c r="H1" s="36"/>
      <c r="I1" s="35"/>
      <c r="J1" s="36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x14ac:dyDescent="0.25" r="2" customHeight="1" ht="18">
      <c r="A2" s="61" t="s">
        <v>522</v>
      </c>
      <c r="B2" s="61"/>
      <c r="C2" s="35"/>
      <c r="D2" s="35"/>
      <c r="E2" s="35"/>
      <c r="F2" s="35"/>
      <c r="G2" s="35"/>
      <c r="H2" s="36"/>
      <c r="I2" s="35"/>
      <c r="J2" s="36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x14ac:dyDescent="0.25" r="3" customHeight="1" ht="18">
      <c r="A3" s="62" t="s">
        <v>523</v>
      </c>
      <c r="B3" s="62" t="s">
        <v>524</v>
      </c>
      <c r="C3" s="62" t="s">
        <v>525</v>
      </c>
      <c r="D3" s="62" t="s">
        <v>526</v>
      </c>
      <c r="E3" s="62" t="s">
        <v>527</v>
      </c>
      <c r="F3" s="63" t="s">
        <v>528</v>
      </c>
      <c r="G3" s="35"/>
      <c r="H3" s="36"/>
      <c r="I3" s="35"/>
      <c r="J3" s="36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x14ac:dyDescent="0.25" r="4" customHeight="1" ht="18">
      <c r="A4" s="35"/>
      <c r="B4" s="35"/>
      <c r="C4" s="35"/>
      <c r="D4" s="35"/>
      <c r="E4" s="35"/>
      <c r="F4" s="63" t="s">
        <v>529</v>
      </c>
      <c r="G4" s="63" t="s">
        <v>530</v>
      </c>
      <c r="H4" s="64" t="s">
        <v>531</v>
      </c>
      <c r="I4" s="63" t="s">
        <v>532</v>
      </c>
      <c r="J4" s="64" t="s">
        <v>533</v>
      </c>
      <c r="K4" s="2" t="s">
        <v>534</v>
      </c>
      <c r="L4" s="2" t="s">
        <v>535</v>
      </c>
      <c r="M4" s="11" t="s">
        <v>536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x14ac:dyDescent="0.25" r="5" customHeight="1" ht="18">
      <c r="A5" s="65" t="s">
        <v>537</v>
      </c>
      <c r="B5" s="66" t="s">
        <v>538</v>
      </c>
      <c r="C5" s="39" t="s">
        <v>539</v>
      </c>
      <c r="D5" s="67" t="s">
        <v>540</v>
      </c>
      <c r="E5" s="67" t="s">
        <v>541</v>
      </c>
      <c r="F5" s="68" t="s">
        <v>542</v>
      </c>
      <c r="G5" s="68" t="s">
        <v>543</v>
      </c>
      <c r="H5" s="69" t="s">
        <v>544</v>
      </c>
      <c r="I5" s="68" t="s">
        <v>460</v>
      </c>
      <c r="J5" s="69">
        <f>VLOOKUP(F5,F:I,4,0)=I5</f>
      </c>
      <c r="K5" s="2"/>
      <c r="L5" s="1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x14ac:dyDescent="0.25" r="6" customHeight="1" ht="18">
      <c r="A6" s="70"/>
      <c r="B6" s="71"/>
      <c r="C6" s="60"/>
      <c r="D6" s="60"/>
      <c r="E6" s="35"/>
      <c r="F6" s="68" t="s">
        <v>545</v>
      </c>
      <c r="G6" s="68" t="s">
        <v>546</v>
      </c>
      <c r="H6" s="69" t="s">
        <v>547</v>
      </c>
      <c r="I6" s="68" t="s">
        <v>460</v>
      </c>
      <c r="J6" s="69">
        <f>VLOOKUP(F6,F:I,4,0)=I6</f>
      </c>
      <c r="K6" s="2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x14ac:dyDescent="0.25" r="7" customHeight="1" ht="18">
      <c r="A7" s="70"/>
      <c r="B7" s="71"/>
      <c r="C7" s="60"/>
      <c r="D7" s="60"/>
      <c r="E7" s="35"/>
      <c r="F7" s="68" t="s">
        <v>548</v>
      </c>
      <c r="G7" s="68" t="s">
        <v>549</v>
      </c>
      <c r="H7" s="69" t="s">
        <v>550</v>
      </c>
      <c r="I7" s="68" t="s">
        <v>460</v>
      </c>
      <c r="J7" s="69">
        <f>VLOOKUP(F7,F:I,4,0)=I7</f>
      </c>
      <c r="K7" s="2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x14ac:dyDescent="0.25" r="8" customHeight="1" ht="18">
      <c r="A8" s="70"/>
      <c r="B8" s="71"/>
      <c r="C8" s="60"/>
      <c r="D8" s="60"/>
      <c r="E8" s="35"/>
      <c r="F8" s="68" t="s">
        <v>551</v>
      </c>
      <c r="G8" s="68" t="s">
        <v>552</v>
      </c>
      <c r="H8" s="69" t="s">
        <v>553</v>
      </c>
      <c r="I8" s="68" t="s">
        <v>460</v>
      </c>
      <c r="J8" s="69">
        <f>VLOOKUP(F8,F:I,4,0)=I8</f>
      </c>
      <c r="K8" s="2"/>
      <c r="L8" s="1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x14ac:dyDescent="0.25" r="9" customHeight="1" ht="18">
      <c r="A9" s="70"/>
      <c r="B9" s="71"/>
      <c r="C9" s="60"/>
      <c r="D9" s="60"/>
      <c r="E9" s="35"/>
      <c r="F9" s="68" t="s">
        <v>554</v>
      </c>
      <c r="G9" s="68" t="s">
        <v>555</v>
      </c>
      <c r="H9" s="69" t="s">
        <v>556</v>
      </c>
      <c r="I9" s="68" t="s">
        <v>460</v>
      </c>
      <c r="J9" s="69">
        <f>VLOOKUP(F9,F:I,4,0)=I9</f>
      </c>
      <c r="K9" s="2"/>
      <c r="L9" s="1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x14ac:dyDescent="0.25" r="10" customHeight="1" ht="18">
      <c r="A10" s="70"/>
      <c r="B10" s="71"/>
      <c r="C10" s="60"/>
      <c r="D10" s="60"/>
      <c r="E10" s="35"/>
      <c r="F10" s="68" t="s">
        <v>557</v>
      </c>
      <c r="G10" s="68" t="s">
        <v>558</v>
      </c>
      <c r="H10" s="69">
        <v>1</v>
      </c>
      <c r="I10" s="68" t="s">
        <v>460</v>
      </c>
      <c r="J10" s="69">
        <f>VLOOKUP(F10,F:I,4,0)=I10</f>
      </c>
      <c r="K10" s="2"/>
      <c r="L10" s="1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x14ac:dyDescent="0.25" r="11" customHeight="1" ht="18">
      <c r="A11" s="70"/>
      <c r="B11" s="71"/>
      <c r="C11" s="60"/>
      <c r="D11" s="60"/>
      <c r="E11" s="35"/>
      <c r="F11" s="68" t="s">
        <v>559</v>
      </c>
      <c r="G11" s="68" t="s">
        <v>560</v>
      </c>
      <c r="H11" s="69" t="s">
        <v>561</v>
      </c>
      <c r="I11" s="68" t="s">
        <v>460</v>
      </c>
      <c r="J11" s="69">
        <f>VLOOKUP(F11,F:I,4,0)=I11</f>
      </c>
      <c r="K11" s="2"/>
      <c r="L11" s="1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x14ac:dyDescent="0.25" r="12" customHeight="1" ht="18">
      <c r="A12" s="70"/>
      <c r="B12" s="71"/>
      <c r="C12" s="72"/>
      <c r="D12" s="72"/>
      <c r="E12" s="57"/>
      <c r="F12" s="68" t="s">
        <v>562</v>
      </c>
      <c r="G12" s="68" t="s">
        <v>563</v>
      </c>
      <c r="H12" s="69" t="s">
        <v>564</v>
      </c>
      <c r="I12" s="68" t="s">
        <v>460</v>
      </c>
      <c r="J12" s="69">
        <f>VLOOKUP(F12,F:I,4,0)=I12</f>
      </c>
      <c r="K12" s="2"/>
      <c r="L12" s="1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x14ac:dyDescent="0.25" r="13" customHeight="1" ht="18">
      <c r="A13" s="70"/>
      <c r="B13" s="71"/>
      <c r="C13" s="34" t="s">
        <v>565</v>
      </c>
      <c r="D13" s="34" t="s">
        <v>566</v>
      </c>
      <c r="E13" s="34" t="s">
        <v>567</v>
      </c>
      <c r="F13" s="21" t="s">
        <v>542</v>
      </c>
      <c r="G13" s="9" t="s">
        <v>543</v>
      </c>
      <c r="H13" s="10" t="s">
        <v>544</v>
      </c>
      <c r="I13" s="9" t="s">
        <v>460</v>
      </c>
      <c r="J13" s="10">
        <f>VLOOKUP(F13,F:I,4,0)=I13</f>
      </c>
      <c r="K13" s="1"/>
      <c r="L13" s="1"/>
      <c r="M13" s="19">
        <f>CHAR(10)&amp;"'"&amp;F13&amp;"' =&gt; ("&amp;IF(I13="字符串","string)",IF(I13="数值","int)",IF(I13="布尔","bool)","int)time")))&amp;" _, //"&amp;G13&amp;", 如: "&amp;H13</f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x14ac:dyDescent="0.25" r="14" customHeight="1" ht="18">
      <c r="A14" s="70"/>
      <c r="B14" s="71"/>
      <c r="C14" s="35"/>
      <c r="D14" s="35"/>
      <c r="E14" s="35"/>
      <c r="F14" s="21" t="s">
        <v>545</v>
      </c>
      <c r="G14" s="9" t="s">
        <v>546</v>
      </c>
      <c r="H14" s="10" t="s">
        <v>547</v>
      </c>
      <c r="I14" s="9" t="s">
        <v>460</v>
      </c>
      <c r="J14" s="10">
        <f>VLOOKUP(F14,F:I,4,0)=I14</f>
      </c>
      <c r="K14" s="1"/>
      <c r="L14" s="1"/>
      <c r="M14" s="19">
        <f>CHAR(10)&amp;"'"&amp;F14&amp;"' =&gt; ("&amp;IF(I14="字符串","string)",IF(I14="数值","int)",IF(I14="布尔","bool)","int)time")))&amp;" _, //"&amp;G14&amp;", 如: "&amp;H14</f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x14ac:dyDescent="0.25" r="15" customHeight="1" ht="18">
      <c r="A15" s="70"/>
      <c r="B15" s="71"/>
      <c r="C15" s="35"/>
      <c r="D15" s="35"/>
      <c r="E15" s="35"/>
      <c r="F15" s="21" t="s">
        <v>548</v>
      </c>
      <c r="G15" s="9" t="s">
        <v>549</v>
      </c>
      <c r="H15" s="10" t="s">
        <v>550</v>
      </c>
      <c r="I15" s="9" t="s">
        <v>460</v>
      </c>
      <c r="J15" s="10">
        <f>VLOOKUP(F15,F:I,4,0)=I15</f>
      </c>
      <c r="K15" s="1"/>
      <c r="L15" s="1"/>
      <c r="M15" s="19">
        <f>CHAR(10)&amp;"'"&amp;F15&amp;"' =&gt; ("&amp;IF(I15="字符串","string)",IF(I15="数值","int)",IF(I15="布尔","bool)","int)time")))&amp;" _, //"&amp;G15&amp;", 如: "&amp;H15</f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x14ac:dyDescent="0.25" r="16" customHeight="1" ht="18">
      <c r="A16" s="70"/>
      <c r="B16" s="71"/>
      <c r="C16" s="35"/>
      <c r="D16" s="35"/>
      <c r="E16" s="35"/>
      <c r="F16" s="21" t="s">
        <v>551</v>
      </c>
      <c r="G16" s="9" t="s">
        <v>552</v>
      </c>
      <c r="H16" s="10" t="s">
        <v>553</v>
      </c>
      <c r="I16" s="9" t="s">
        <v>460</v>
      </c>
      <c r="J16" s="10">
        <f>VLOOKUP(F16,F:I,4,0)=I16</f>
      </c>
      <c r="K16" s="1"/>
      <c r="L16" s="1"/>
      <c r="M16" s="19">
        <f>CHAR(10)&amp;"'"&amp;F16&amp;"' =&gt; ("&amp;IF(I16="字符串","string)",IF(I16="数值","int)",IF(I16="布尔","bool)","int)time")))&amp;" _, //"&amp;G16&amp;", 如: "&amp;H16</f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x14ac:dyDescent="0.25" r="17" customHeight="1" ht="18">
      <c r="A17" s="70"/>
      <c r="B17" s="71"/>
      <c r="C17" s="35"/>
      <c r="D17" s="35"/>
      <c r="E17" s="35"/>
      <c r="F17" s="21" t="s">
        <v>554</v>
      </c>
      <c r="G17" s="9" t="s">
        <v>555</v>
      </c>
      <c r="H17" s="10" t="s">
        <v>556</v>
      </c>
      <c r="I17" s="9" t="s">
        <v>460</v>
      </c>
      <c r="J17" s="10">
        <f>VLOOKUP(F17,F:I,4,0)=I17</f>
      </c>
      <c r="K17" s="1"/>
      <c r="L17" s="1"/>
      <c r="M17" s="19">
        <f>CHAR(10)&amp;"'"&amp;F17&amp;"' =&gt; ("&amp;IF(I17="字符串","string)",IF(I17="数值","int)",IF(I17="布尔","bool)","int)time")))&amp;" _, //"&amp;G17&amp;", 如: "&amp;H17</f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x14ac:dyDescent="0.25" r="18" customHeight="1" ht="18">
      <c r="A18" s="70"/>
      <c r="B18" s="71"/>
      <c r="C18" s="35"/>
      <c r="D18" s="35"/>
      <c r="E18" s="35"/>
      <c r="F18" s="21" t="s">
        <v>557</v>
      </c>
      <c r="G18" s="9" t="s">
        <v>558</v>
      </c>
      <c r="H18" s="10">
        <v>1</v>
      </c>
      <c r="I18" s="9" t="s">
        <v>460</v>
      </c>
      <c r="J18" s="10">
        <f>VLOOKUP(F18,F:I,4,0)=I18</f>
      </c>
      <c r="K18" s="1"/>
      <c r="L18" s="1"/>
      <c r="M18" s="19">
        <f>CHAR(10)&amp;"'"&amp;F18&amp;"' =&gt; ("&amp;IF(I18="字符串","string)",IF(I18="数值","int)",IF(I18="布尔","bool)","int)time")))&amp;" _, //"&amp;G18&amp;", 如: "&amp;H18</f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x14ac:dyDescent="0.25" r="19" customHeight="1" ht="18">
      <c r="A19" s="70"/>
      <c r="B19" s="71"/>
      <c r="C19" s="35"/>
      <c r="D19" s="35"/>
      <c r="E19" s="35"/>
      <c r="F19" s="21" t="s">
        <v>559</v>
      </c>
      <c r="G19" s="9" t="s">
        <v>560</v>
      </c>
      <c r="H19" s="10" t="s">
        <v>561</v>
      </c>
      <c r="I19" s="9" t="s">
        <v>460</v>
      </c>
      <c r="J19" s="10">
        <f>VLOOKUP(F19,F:I,4,0)=I19</f>
      </c>
      <c r="K19" s="1"/>
      <c r="L19" s="1"/>
      <c r="M19" s="19">
        <f>CHAR(10)&amp;"'"&amp;F19&amp;"' =&gt; ("&amp;IF(I19="字符串","string)",IF(I19="数值","int)",IF(I19="布尔","bool)","int)time")))&amp;" _, //"&amp;G19&amp;", 如: "&amp;H19</f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x14ac:dyDescent="0.25" r="20" customHeight="1" ht="18">
      <c r="A20" s="70"/>
      <c r="B20" s="71"/>
      <c r="C20" s="35"/>
      <c r="D20" s="35"/>
      <c r="E20" s="35"/>
      <c r="F20" s="21" t="s">
        <v>562</v>
      </c>
      <c r="G20" s="9" t="s">
        <v>563</v>
      </c>
      <c r="H20" s="10" t="s">
        <v>564</v>
      </c>
      <c r="I20" s="9" t="s">
        <v>460</v>
      </c>
      <c r="J20" s="10">
        <f>VLOOKUP(F20,F:I,4,0)=I20</f>
      </c>
      <c r="K20" s="1"/>
      <c r="L20" s="1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x14ac:dyDescent="0.25" r="21" customHeight="1" ht="18">
      <c r="A21" s="70"/>
      <c r="B21" s="71"/>
      <c r="C21" s="35"/>
      <c r="D21" s="35"/>
      <c r="E21" s="35"/>
      <c r="F21" s="21" t="s">
        <v>568</v>
      </c>
      <c r="G21" s="9" t="s">
        <v>569</v>
      </c>
      <c r="H21" s="10" t="s">
        <v>570</v>
      </c>
      <c r="I21" s="68" t="s">
        <v>571</v>
      </c>
      <c r="J21" s="10">
        <f>VLOOKUP(F21,F:I,4,0)=I21</f>
      </c>
      <c r="K21" s="1"/>
      <c r="L21" s="1"/>
      <c r="M21" s="19">
        <f>CHAR(10)&amp;"'"&amp;F21&amp;"' =&gt; ("&amp;IF(I21="字符串","string)",IF(I21="数值","int)",IF(I21="布尔","bool)","int)time")))&amp;" _, //"&amp;G21&amp;", 如: "&amp;H21</f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x14ac:dyDescent="0.25" r="22" customHeight="1" ht="18">
      <c r="A22" s="70"/>
      <c r="B22" s="71"/>
      <c r="C22" s="34" t="s">
        <v>572</v>
      </c>
      <c r="D22" s="34" t="s">
        <v>573</v>
      </c>
      <c r="E22" s="34" t="s">
        <v>574</v>
      </c>
      <c r="F22" s="21" t="s">
        <v>542</v>
      </c>
      <c r="G22" s="9" t="s">
        <v>543</v>
      </c>
      <c r="H22" s="10" t="s">
        <v>544</v>
      </c>
      <c r="I22" s="9" t="s">
        <v>460</v>
      </c>
      <c r="J22" s="10">
        <f>VLOOKUP(F22,F:I,4,0)=I22</f>
      </c>
      <c r="K22" s="1"/>
      <c r="L22" s="1"/>
      <c r="M22" s="19">
        <f>CHAR(10)&amp;"'"&amp;F22&amp;"' =&gt; ("&amp;IF(I22="字符串","string)",IF(I22="数值","int)",IF(I22="布尔","bool)","int)time")))&amp;" _, //"&amp;G22&amp;", 如: "&amp;H22</f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x14ac:dyDescent="0.25" r="23" customHeight="1" ht="18">
      <c r="A23" s="70"/>
      <c r="B23" s="71"/>
      <c r="C23" s="35"/>
      <c r="D23" s="35"/>
      <c r="E23" s="35"/>
      <c r="F23" s="21" t="s">
        <v>545</v>
      </c>
      <c r="G23" s="9" t="s">
        <v>546</v>
      </c>
      <c r="H23" s="10" t="s">
        <v>547</v>
      </c>
      <c r="I23" s="9" t="s">
        <v>460</v>
      </c>
      <c r="J23" s="10">
        <f>VLOOKUP(F23,F:I,4,0)=I23</f>
      </c>
      <c r="K23" s="1"/>
      <c r="L23" s="1"/>
      <c r="M23" s="19">
        <f>CHAR(10)&amp;"'"&amp;F23&amp;"' =&gt; ("&amp;IF(I23="字符串","string)",IF(I23="数值","int)",IF(I23="布尔","bool)","int)time")))&amp;" _, //"&amp;G23&amp;", 如: "&amp;H23</f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x14ac:dyDescent="0.25" r="24" customHeight="1" ht="18">
      <c r="A24" s="70"/>
      <c r="B24" s="71"/>
      <c r="C24" s="35"/>
      <c r="D24" s="35"/>
      <c r="E24" s="35"/>
      <c r="F24" s="21" t="s">
        <v>548</v>
      </c>
      <c r="G24" s="9" t="s">
        <v>549</v>
      </c>
      <c r="H24" s="10" t="s">
        <v>550</v>
      </c>
      <c r="I24" s="9" t="s">
        <v>460</v>
      </c>
      <c r="J24" s="10">
        <f>VLOOKUP(F24,F:I,4,0)=I24</f>
      </c>
      <c r="K24" s="1"/>
      <c r="L24" s="1"/>
      <c r="M24" s="19">
        <f>CHAR(10)&amp;"'"&amp;F24&amp;"' =&gt; ("&amp;IF(I24="字符串","string)",IF(I24="数值","int)",IF(I24="布尔","bool)","int)time")))&amp;" _, //"&amp;G24&amp;", 如: "&amp;H24</f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x14ac:dyDescent="0.25" r="25" customHeight="1" ht="18">
      <c r="A25" s="70"/>
      <c r="B25" s="71"/>
      <c r="C25" s="57"/>
      <c r="D25" s="57"/>
      <c r="E25" s="57"/>
      <c r="F25" s="21" t="s">
        <v>575</v>
      </c>
      <c r="G25" s="9" t="s">
        <v>576</v>
      </c>
      <c r="H25" s="10" t="s">
        <v>577</v>
      </c>
      <c r="I25" s="9" t="s">
        <v>460</v>
      </c>
      <c r="J25" s="10">
        <f>VLOOKUP(F25,F:I,4,0)=I25</f>
      </c>
      <c r="K25" s="1"/>
      <c r="L25" s="1"/>
      <c r="M25" s="19">
        <f>CHAR(10)&amp;"'"&amp;F25&amp;"' =&gt; ("&amp;IF(I25="字符串","string)",IF(I25="数值","int)",IF(I25="布尔","bool)","int)time")))&amp;" _, //"&amp;G25&amp;", 如: "&amp;H25</f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x14ac:dyDescent="0.25" r="26" customHeight="1" ht="18">
      <c r="A26" s="70"/>
      <c r="B26" s="73"/>
      <c r="C26" s="34" t="s">
        <v>578</v>
      </c>
      <c r="D26" s="34" t="s">
        <v>579</v>
      </c>
      <c r="E26" s="34" t="s">
        <v>580</v>
      </c>
      <c r="F26" s="21" t="s">
        <v>542</v>
      </c>
      <c r="G26" s="9" t="s">
        <v>543</v>
      </c>
      <c r="H26" s="10" t="s">
        <v>544</v>
      </c>
      <c r="I26" s="9" t="s">
        <v>460</v>
      </c>
      <c r="J26" s="10">
        <f>VLOOKUP(F26,F:I,4,0)=I26</f>
      </c>
      <c r="K26" s="1"/>
      <c r="L26" s="1"/>
      <c r="M26" s="74">
        <f>CHAR(10)&amp;"'"&amp;F26&amp;"' =&gt; ("&amp;IF(I26="字符串","string)",IF(I26="数值","int)",IF(I26="布尔","bool)","int)time")))&amp;" _, //"&amp;G26&amp;", 如: "&amp;H26</f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x14ac:dyDescent="0.25" r="27" customHeight="1" ht="18">
      <c r="A27" s="70"/>
      <c r="B27" s="73"/>
      <c r="C27" s="35"/>
      <c r="D27" s="35"/>
      <c r="E27" s="35"/>
      <c r="F27" s="21" t="s">
        <v>545</v>
      </c>
      <c r="G27" s="9" t="s">
        <v>546</v>
      </c>
      <c r="H27" s="10" t="s">
        <v>547</v>
      </c>
      <c r="I27" s="9" t="s">
        <v>460</v>
      </c>
      <c r="J27" s="10">
        <f>VLOOKUP(F27,F:I,4,0)=I27</f>
      </c>
      <c r="K27" s="1"/>
      <c r="L27" s="1"/>
      <c r="M27" s="74">
        <f>CHAR(10)&amp;"'"&amp;F27&amp;"' =&gt; ("&amp;IF(I27="字符串","string)",IF(I27="数值","int)",IF(I27="布尔","bool)","int)time")))&amp;" _, //"&amp;G27&amp;", 如: "&amp;H27</f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x14ac:dyDescent="0.25" r="28" customHeight="1" ht="18">
      <c r="A28" s="70"/>
      <c r="B28" s="73"/>
      <c r="C28" s="35"/>
      <c r="D28" s="35"/>
      <c r="E28" s="35"/>
      <c r="F28" s="21" t="s">
        <v>548</v>
      </c>
      <c r="G28" s="9" t="s">
        <v>549</v>
      </c>
      <c r="H28" s="10" t="s">
        <v>550</v>
      </c>
      <c r="I28" s="9" t="s">
        <v>460</v>
      </c>
      <c r="J28" s="10">
        <f>VLOOKUP(F28,F:I,4,0)=I28</f>
      </c>
      <c r="K28" s="1"/>
      <c r="L28" s="1"/>
      <c r="M28" s="74">
        <f>CHAR(10)&amp;"'"&amp;F28&amp;"' =&gt; ("&amp;IF(I28="字符串","string)",IF(I28="数值","int)",IF(I28="布尔","bool)","int)time")))&amp;" _, //"&amp;G28&amp;", 如: "&amp;H28</f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x14ac:dyDescent="0.25" r="29" customHeight="1" ht="18">
      <c r="A29" s="70"/>
      <c r="B29" s="73"/>
      <c r="C29" s="35"/>
      <c r="D29" s="35"/>
      <c r="E29" s="35"/>
      <c r="F29" s="21" t="s">
        <v>551</v>
      </c>
      <c r="G29" s="9" t="s">
        <v>552</v>
      </c>
      <c r="H29" s="10" t="s">
        <v>553</v>
      </c>
      <c r="I29" s="9" t="s">
        <v>460</v>
      </c>
      <c r="J29" s="10">
        <f>VLOOKUP(F29,F:I,4,0)=I29</f>
      </c>
      <c r="K29" s="1"/>
      <c r="L29" s="1"/>
      <c r="M29" s="74">
        <f>CHAR(10)&amp;"'"&amp;F29&amp;"' =&gt; ("&amp;IF(I29="字符串","string)",IF(I29="数值","int)",IF(I29="布尔","bool)","int)time")))&amp;" _, //"&amp;G29&amp;", 如: "&amp;H29</f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x14ac:dyDescent="0.25" r="30" customHeight="1" ht="18">
      <c r="A30" s="70"/>
      <c r="B30" s="73"/>
      <c r="C30" s="35"/>
      <c r="D30" s="35"/>
      <c r="E30" s="35"/>
      <c r="F30" s="21" t="s">
        <v>554</v>
      </c>
      <c r="G30" s="9" t="s">
        <v>555</v>
      </c>
      <c r="H30" s="10" t="s">
        <v>556</v>
      </c>
      <c r="I30" s="9" t="s">
        <v>460</v>
      </c>
      <c r="J30" s="10">
        <f>VLOOKUP(F30,F:I,4,0)=I30</f>
      </c>
      <c r="K30" s="1"/>
      <c r="L30" s="1"/>
      <c r="M30" s="74">
        <f>CHAR(10)&amp;"'"&amp;F30&amp;"' =&gt; ("&amp;IF(I30="字符串","string)",IF(I30="数值","int)",IF(I30="布尔","bool)","int)time")))&amp;" _, //"&amp;G30&amp;", 如: "&amp;H30</f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x14ac:dyDescent="0.25" r="31" customHeight="1" ht="18">
      <c r="A31" s="70"/>
      <c r="B31" s="73"/>
      <c r="C31" s="35"/>
      <c r="D31" s="35"/>
      <c r="E31" s="35"/>
      <c r="F31" s="21" t="s">
        <v>557</v>
      </c>
      <c r="G31" s="9" t="s">
        <v>558</v>
      </c>
      <c r="H31" s="10">
        <v>1</v>
      </c>
      <c r="I31" s="9" t="s">
        <v>460</v>
      </c>
      <c r="J31" s="10">
        <f>VLOOKUP(F31,F:I,4,0)=I31</f>
      </c>
      <c r="K31" s="1"/>
      <c r="L31" s="1"/>
      <c r="M31" s="74">
        <f>CHAR(10)&amp;"'"&amp;F31&amp;"' =&gt; ("&amp;IF(I31="字符串","string)",IF(I31="数值","int)",IF(I31="布尔","bool)","int)time")))&amp;" _, //"&amp;G31&amp;", 如: "&amp;H31</f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x14ac:dyDescent="0.25" r="32" customHeight="1" ht="18">
      <c r="A32" s="70"/>
      <c r="B32" s="73"/>
      <c r="C32" s="35"/>
      <c r="D32" s="35"/>
      <c r="E32" s="35"/>
      <c r="F32" s="21" t="s">
        <v>559</v>
      </c>
      <c r="G32" s="9" t="s">
        <v>560</v>
      </c>
      <c r="H32" s="10" t="s">
        <v>561</v>
      </c>
      <c r="I32" s="9" t="s">
        <v>460</v>
      </c>
      <c r="J32" s="10">
        <f>VLOOKUP(F32,F:I,4,0)=I32</f>
      </c>
      <c r="K32" s="1"/>
      <c r="L32" s="1"/>
      <c r="M32" s="74">
        <f>CHAR(10)&amp;"'"&amp;F32&amp;"' =&gt; ("&amp;IF(I32="字符串","string)",IF(I32="数值","int)",IF(I32="布尔","bool)","int)time")))&amp;" _, //"&amp;G32&amp;", 如: "&amp;H32</f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x14ac:dyDescent="0.25" r="33" customHeight="1" ht="18">
      <c r="A33" s="70"/>
      <c r="B33" s="73"/>
      <c r="C33" s="35"/>
      <c r="D33" s="35"/>
      <c r="E33" s="35"/>
      <c r="F33" s="21" t="s">
        <v>562</v>
      </c>
      <c r="G33" s="9" t="s">
        <v>563</v>
      </c>
      <c r="H33" s="10" t="s">
        <v>564</v>
      </c>
      <c r="I33" s="9" t="s">
        <v>460</v>
      </c>
      <c r="J33" s="10">
        <f>VLOOKUP(F33,F:I,4,0)=I33</f>
      </c>
      <c r="K33" s="1"/>
      <c r="L33" s="1"/>
      <c r="M33" s="74">
        <f>CHAR(10)&amp;"'"&amp;F33&amp;"' =&gt; ("&amp;IF(I33="字符串","string)",IF(I33="数值","int)",IF(I33="布尔","bool)","int)time")))&amp;" _, //"&amp;G33&amp;", 如: "&amp;H33</f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x14ac:dyDescent="0.25" r="34" customHeight="1" ht="18">
      <c r="A34" s="70"/>
      <c r="B34" s="73"/>
      <c r="C34" s="35"/>
      <c r="D34" s="35"/>
      <c r="E34" s="35"/>
      <c r="F34" s="21" t="s">
        <v>568</v>
      </c>
      <c r="G34" s="9" t="s">
        <v>569</v>
      </c>
      <c r="H34" s="10" t="s">
        <v>570</v>
      </c>
      <c r="I34" s="9" t="s">
        <v>571</v>
      </c>
      <c r="J34" s="10">
        <f>VLOOKUP(F34,F:I,4,0)=I34</f>
      </c>
      <c r="K34" s="1"/>
      <c r="L34" s="1"/>
      <c r="M34" s="75">
        <f>CHAR(10)&amp;"'"&amp;F34&amp;"' =&gt; ("&amp;IF(I34="字符串","string)",IF(I34="数值","int)",IF(I34="布尔","bool)","int)time")))&amp;" _, //"&amp;G34&amp;", 如: "&amp;H34</f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x14ac:dyDescent="0.25" r="35" customHeight="1" ht="18">
      <c r="A35" s="70"/>
      <c r="B35" s="73"/>
      <c r="C35" s="35"/>
      <c r="D35" s="35"/>
      <c r="E35" s="35"/>
      <c r="F35" s="76" t="s">
        <v>581</v>
      </c>
      <c r="G35" s="68" t="s">
        <v>582</v>
      </c>
      <c r="H35" s="77" t="s">
        <v>583</v>
      </c>
      <c r="I35" s="9" t="s">
        <v>460</v>
      </c>
      <c r="J35" s="10">
        <f>VLOOKUP(F35,F:I,4,0)=I35</f>
      </c>
      <c r="K35" s="1"/>
      <c r="L35" s="1"/>
      <c r="M35" s="7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x14ac:dyDescent="0.25" r="36" customHeight="1" ht="18">
      <c r="A36" s="70"/>
      <c r="B36" s="71"/>
      <c r="C36" s="79" t="s">
        <v>584</v>
      </c>
      <c r="D36" s="80" t="s">
        <v>585</v>
      </c>
      <c r="E36" s="80" t="s">
        <v>586</v>
      </c>
      <c r="F36" s="21" t="s">
        <v>542</v>
      </c>
      <c r="G36" s="9" t="s">
        <v>543</v>
      </c>
      <c r="H36" s="10" t="s">
        <v>544</v>
      </c>
      <c r="I36" s="9" t="s">
        <v>460</v>
      </c>
      <c r="J36" s="10">
        <f>VLOOKUP(F36,F:I,4,0)=I36</f>
      </c>
      <c r="K36" s="1"/>
      <c r="L36" s="1"/>
      <c r="M36" s="7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x14ac:dyDescent="0.25" r="37" customHeight="1" ht="18">
      <c r="A37" s="70"/>
      <c r="B37" s="71"/>
      <c r="C37" s="71"/>
      <c r="D37" s="35"/>
      <c r="E37" s="35"/>
      <c r="F37" s="21" t="s">
        <v>545</v>
      </c>
      <c r="G37" s="9" t="s">
        <v>546</v>
      </c>
      <c r="H37" s="10" t="s">
        <v>547</v>
      </c>
      <c r="I37" s="9" t="s">
        <v>460</v>
      </c>
      <c r="J37" s="10">
        <f>VLOOKUP(F37,F:I,4,0)=I37</f>
      </c>
      <c r="K37" s="1"/>
      <c r="L37" s="1"/>
      <c r="M37" s="7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x14ac:dyDescent="0.25" r="38" customHeight="1" ht="18">
      <c r="A38" s="70"/>
      <c r="B38" s="71"/>
      <c r="C38" s="71"/>
      <c r="D38" s="35"/>
      <c r="E38" s="35"/>
      <c r="F38" s="21" t="s">
        <v>548</v>
      </c>
      <c r="G38" s="9" t="s">
        <v>549</v>
      </c>
      <c r="H38" s="10" t="s">
        <v>550</v>
      </c>
      <c r="I38" s="9" t="s">
        <v>460</v>
      </c>
      <c r="J38" s="10">
        <f>VLOOKUP(F38,F:I,4,0)=I38</f>
      </c>
      <c r="K38" s="1"/>
      <c r="L38" s="1"/>
      <c r="M38" s="7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x14ac:dyDescent="0.25" r="39" customHeight="1" ht="18">
      <c r="A39" s="70"/>
      <c r="B39" s="71"/>
      <c r="C39" s="81"/>
      <c r="D39" s="57"/>
      <c r="E39" s="57"/>
      <c r="F39" s="21" t="s">
        <v>575</v>
      </c>
      <c r="G39" s="9" t="s">
        <v>576</v>
      </c>
      <c r="H39" s="10" t="s">
        <v>577</v>
      </c>
      <c r="I39" s="9" t="s">
        <v>460</v>
      </c>
      <c r="J39" s="10">
        <f>VLOOKUP(F39,F:I,4,0)=I39</f>
      </c>
      <c r="K39" s="1"/>
      <c r="L39" s="1"/>
      <c r="M39" s="7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x14ac:dyDescent="0.25" r="40" customHeight="1" ht="18">
      <c r="A40" s="70"/>
      <c r="B40" s="71"/>
      <c r="C40" s="66" t="s">
        <v>587</v>
      </c>
      <c r="D40" s="82" t="s">
        <v>588</v>
      </c>
      <c r="E40" s="83" t="s">
        <v>589</v>
      </c>
      <c r="F40" s="21" t="s">
        <v>542</v>
      </c>
      <c r="G40" s="9" t="s">
        <v>543</v>
      </c>
      <c r="H40" s="10" t="s">
        <v>544</v>
      </c>
      <c r="I40" s="9" t="s">
        <v>460</v>
      </c>
      <c r="J40" s="10">
        <f>VLOOKUP(F40,F:I,4,0)=I40</f>
      </c>
      <c r="K40" s="1"/>
      <c r="L40" s="1"/>
      <c r="M40" s="74">
        <f>CHAR(10)&amp;"'"&amp;F40&amp;"' =&gt; ("&amp;IF(I40="字符串","string)",IF(I40="数值","int)",IF(I40="布尔","bool)","int)time")))&amp;" _, //"&amp;G40&amp;", 如: "&amp;H40</f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x14ac:dyDescent="0.25" r="41" customHeight="1" ht="18">
      <c r="A41" s="70"/>
      <c r="B41" s="71"/>
      <c r="C41" s="71"/>
      <c r="D41" s="71"/>
      <c r="E41" s="73"/>
      <c r="F41" s="21" t="s">
        <v>545</v>
      </c>
      <c r="G41" s="9" t="s">
        <v>546</v>
      </c>
      <c r="H41" s="10" t="s">
        <v>547</v>
      </c>
      <c r="I41" s="9" t="s">
        <v>460</v>
      </c>
      <c r="J41" s="10">
        <f>VLOOKUP(F41,F:I,4,0)=I41</f>
      </c>
      <c r="K41" s="1"/>
      <c r="L41" s="1"/>
      <c r="M41" s="74">
        <f>CHAR(10)&amp;"'"&amp;F41&amp;"' =&gt; ("&amp;IF(I41="字符串","string)",IF(I41="数值","int)",IF(I41="布尔","bool)","int)time")))&amp;" _, //"&amp;G41&amp;", 如: "&amp;H41</f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x14ac:dyDescent="0.25" r="42" customHeight="1" ht="18">
      <c r="A42" s="70"/>
      <c r="B42" s="71"/>
      <c r="C42" s="71"/>
      <c r="D42" s="71"/>
      <c r="E42" s="73"/>
      <c r="F42" s="21" t="s">
        <v>548</v>
      </c>
      <c r="G42" s="9" t="s">
        <v>549</v>
      </c>
      <c r="H42" s="10" t="s">
        <v>550</v>
      </c>
      <c r="I42" s="9" t="s">
        <v>460</v>
      </c>
      <c r="J42" s="10">
        <f>VLOOKUP(F42,F:I,4,0)=I42</f>
      </c>
      <c r="K42" s="1"/>
      <c r="L42" s="1"/>
      <c r="M42" s="74">
        <f>CHAR(10)&amp;"'"&amp;F42&amp;"' =&gt; ("&amp;IF(I42="字符串","string)",IF(I42="数值","int)",IF(I42="布尔","bool)","int)time")))&amp;" _, //"&amp;G42&amp;", 如: "&amp;H42</f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x14ac:dyDescent="0.25" r="43" customHeight="1" ht="18">
      <c r="A43" s="70"/>
      <c r="B43" s="71"/>
      <c r="C43" s="71"/>
      <c r="D43" s="71"/>
      <c r="E43" s="73"/>
      <c r="F43" s="21" t="s">
        <v>557</v>
      </c>
      <c r="G43" s="9" t="s">
        <v>558</v>
      </c>
      <c r="H43" s="10">
        <v>1</v>
      </c>
      <c r="I43" s="9" t="s">
        <v>460</v>
      </c>
      <c r="J43" s="10">
        <f>VLOOKUP(F43,F:I,4,0)=I43</f>
      </c>
      <c r="K43" s="1"/>
      <c r="L43" s="1"/>
      <c r="M43" s="74">
        <f>CHAR(10)&amp;"'"&amp;F43&amp;"' =&gt; ("&amp;IF(I43="字符串","string)",IF(I43="数值","int)",IF(I43="布尔","bool)","int)time")))&amp;" _, //"&amp;G43&amp;", 如: "&amp;H43</f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x14ac:dyDescent="0.25" r="44" customHeight="1" ht="18">
      <c r="A44" s="70"/>
      <c r="B44" s="71"/>
      <c r="C44" s="71"/>
      <c r="D44" s="71"/>
      <c r="E44" s="73"/>
      <c r="F44" s="21" t="s">
        <v>559</v>
      </c>
      <c r="G44" s="9" t="s">
        <v>560</v>
      </c>
      <c r="H44" s="10" t="s">
        <v>561</v>
      </c>
      <c r="I44" s="9" t="s">
        <v>460</v>
      </c>
      <c r="J44" s="10">
        <f>VLOOKUP(F44,F:I,4,0)=I44</f>
      </c>
      <c r="K44" s="1"/>
      <c r="L44" s="1"/>
      <c r="M44" s="74">
        <f>CHAR(10)&amp;"'"&amp;F44&amp;"' =&gt; ("&amp;IF(I44="字符串","string)",IF(I44="数值","int)",IF(I44="布尔","bool)","int)time")))&amp;" _, //"&amp;G44&amp;", 如: "&amp;H44</f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x14ac:dyDescent="0.25" r="45" customHeight="1" ht="18">
      <c r="A45" s="70"/>
      <c r="B45" s="71"/>
      <c r="C45" s="71"/>
      <c r="D45" s="71"/>
      <c r="E45" s="73"/>
      <c r="F45" s="21" t="s">
        <v>562</v>
      </c>
      <c r="G45" s="9" t="s">
        <v>563</v>
      </c>
      <c r="H45" s="10" t="s">
        <v>564</v>
      </c>
      <c r="I45" s="9" t="s">
        <v>460</v>
      </c>
      <c r="J45" s="10">
        <f>VLOOKUP(F45,F:I,4,0)=I45</f>
      </c>
      <c r="K45" s="1"/>
      <c r="L45" s="1"/>
      <c r="M45" s="74">
        <f>CHAR(10)&amp;"'"&amp;F45&amp;"' =&gt; ("&amp;IF(I45="字符串","string)",IF(I45="数值","int)",IF(I45="布尔","bool)","int)time")))&amp;" _, //"&amp;G45&amp;", 如: "&amp;H45</f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x14ac:dyDescent="0.25" r="46" customHeight="1" ht="18">
      <c r="A46" s="70"/>
      <c r="B46" s="71"/>
      <c r="C46" s="71"/>
      <c r="D46" s="71"/>
      <c r="E46" s="73"/>
      <c r="F46" s="21" t="s">
        <v>568</v>
      </c>
      <c r="G46" s="9" t="s">
        <v>569</v>
      </c>
      <c r="H46" s="10" t="s">
        <v>570</v>
      </c>
      <c r="I46" s="9" t="s">
        <v>571</v>
      </c>
      <c r="J46" s="10">
        <f>VLOOKUP(F46,F:I,4,0)=I46</f>
      </c>
      <c r="K46" s="1"/>
      <c r="L46" s="1"/>
      <c r="M46" s="74">
        <f>CHAR(10)&amp;"'"&amp;F46&amp;"' =&gt; ("&amp;IF(I46="字符串","string)",IF(I46="数值","int)",IF(I46="布尔","bool)","int)time")))&amp;" _, //"&amp;G46&amp;", 如: "&amp;H46</f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x14ac:dyDescent="0.25" r="47" customHeight="1" ht="18">
      <c r="A47" s="70"/>
      <c r="B47" s="71"/>
      <c r="C47" s="71"/>
      <c r="D47" s="71"/>
      <c r="E47" s="73"/>
      <c r="F47" s="21" t="s">
        <v>590</v>
      </c>
      <c r="G47" s="9" t="s">
        <v>591</v>
      </c>
      <c r="H47" s="10">
        <v>1</v>
      </c>
      <c r="I47" s="9" t="s">
        <v>481</v>
      </c>
      <c r="J47" s="10">
        <f>VLOOKUP(F47,F:I,4,0)=I47</f>
      </c>
      <c r="K47" s="1"/>
      <c r="L47" s="1"/>
      <c r="M47" s="84">
        <f>CHAR(10)&amp;"'"&amp;F47&amp;"' =&gt; ("&amp;IF(I47="字符串","string)",IF(I47="数值","int)",IF(I47="布尔","bool)","int)time")))&amp;" _, //"&amp;G47&amp;", 如: "&amp;H47</f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x14ac:dyDescent="0.25" r="48" customHeight="1" ht="18">
      <c r="A48" s="70"/>
      <c r="B48" s="71"/>
      <c r="C48" s="81"/>
      <c r="D48" s="81"/>
      <c r="E48" s="85"/>
      <c r="F48" s="76" t="s">
        <v>581</v>
      </c>
      <c r="G48" s="68" t="s">
        <v>582</v>
      </c>
      <c r="H48" s="77" t="s">
        <v>583</v>
      </c>
      <c r="I48" s="9" t="s">
        <v>460</v>
      </c>
      <c r="J48" s="10">
        <f>VLOOKUP(F48,F:I,4,0)=I48</f>
      </c>
      <c r="K48" s="1"/>
      <c r="L48" s="1"/>
      <c r="M48" s="7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x14ac:dyDescent="0.25" r="49" customHeight="1" ht="18">
      <c r="A49" s="70"/>
      <c r="B49" s="71"/>
      <c r="C49" s="86" t="s">
        <v>592</v>
      </c>
      <c r="D49" s="86" t="s">
        <v>593</v>
      </c>
      <c r="E49" s="86" t="s">
        <v>594</v>
      </c>
      <c r="F49" s="9" t="s">
        <v>595</v>
      </c>
      <c r="G49" s="9" t="s">
        <v>596</v>
      </c>
      <c r="H49" s="10" t="s">
        <v>597</v>
      </c>
      <c r="I49" s="9" t="s">
        <v>460</v>
      </c>
      <c r="J49" s="10">
        <f>VLOOKUP(F49,F:I,4,0)=I49</f>
      </c>
      <c r="K49" s="1"/>
      <c r="L49" s="1"/>
      <c r="M49" s="87">
        <f>CHAR(10)&amp;"'"&amp;F49&amp;"' =&gt; ("&amp;IF(I49="字符串","string)",IF(I49="数值","int)",IF(I49="布尔","bool)","int)time")))&amp;" _, //"&amp;G49&amp;", 如: "&amp;H49</f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x14ac:dyDescent="0.25" r="50" customHeight="1" ht="18">
      <c r="A50" s="70"/>
      <c r="B50" s="71"/>
      <c r="C50" s="35"/>
      <c r="D50" s="35"/>
      <c r="E50" s="35"/>
      <c r="F50" s="30" t="s">
        <v>598</v>
      </c>
      <c r="G50" s="9" t="s">
        <v>599</v>
      </c>
      <c r="H50" s="10" t="s">
        <v>600</v>
      </c>
      <c r="I50" s="9" t="s">
        <v>460</v>
      </c>
      <c r="J50" s="10">
        <f>VLOOKUP(F50,F:I,4,0)=I50</f>
      </c>
      <c r="K50" s="1"/>
      <c r="L50" s="1"/>
      <c r="M50" s="74">
        <f>CHAR(10)&amp;"'"&amp;F50&amp;"' =&gt; ("&amp;IF(I50="字符串","string)",IF(I50="数值","int)",IF(I50="布尔","bool)","int)time")))&amp;" _, //"&amp;G50&amp;", 如: "&amp;H50</f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x14ac:dyDescent="0.25" r="51" customHeight="1" ht="18">
      <c r="A51" s="70"/>
      <c r="B51" s="71"/>
      <c r="C51" s="35"/>
      <c r="D51" s="35"/>
      <c r="E51" s="35"/>
      <c r="F51" s="30" t="s">
        <v>601</v>
      </c>
      <c r="G51" s="9" t="s">
        <v>602</v>
      </c>
      <c r="H51" s="10" t="s">
        <v>603</v>
      </c>
      <c r="I51" s="9" t="s">
        <v>460</v>
      </c>
      <c r="J51" s="10">
        <f>VLOOKUP(F51,F:I,4,0)=I51</f>
      </c>
      <c r="K51" s="1"/>
      <c r="L51" s="1"/>
      <c r="M51" s="74">
        <f>CHAR(10)&amp;"'"&amp;F51&amp;"' =&gt; ("&amp;IF(I51="字符串","string)",IF(I51="数值","int)",IF(I51="布尔","bool)","int)time")))&amp;" _, //"&amp;G51&amp;", 如: "&amp;H51</f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x14ac:dyDescent="0.25" r="52" customHeight="1" ht="18">
      <c r="A52" s="70"/>
      <c r="B52" s="71"/>
      <c r="C52" s="35"/>
      <c r="D52" s="35"/>
      <c r="E52" s="35"/>
      <c r="F52" s="9" t="s">
        <v>604</v>
      </c>
      <c r="G52" s="9" t="s">
        <v>605</v>
      </c>
      <c r="H52" s="10" t="s">
        <v>606</v>
      </c>
      <c r="I52" s="9" t="s">
        <v>460</v>
      </c>
      <c r="J52" s="10">
        <f>VLOOKUP(F52,F:I,4,0)=I52</f>
      </c>
      <c r="K52" s="1"/>
      <c r="L52" s="1"/>
      <c r="M52" s="74">
        <f>CHAR(10)&amp;"'"&amp;F52&amp;"' =&gt; ("&amp;IF(I52="字符串","string)",IF(I52="数值","int)",IF(I52="布尔","bool)","int)time")))&amp;" _, //"&amp;G52&amp;", 如: "&amp;H52</f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x14ac:dyDescent="0.25" r="53" customHeight="1" ht="18">
      <c r="A53" s="70"/>
      <c r="B53" s="71"/>
      <c r="C53" s="35"/>
      <c r="D53" s="35"/>
      <c r="E53" s="35"/>
      <c r="F53" s="9" t="s">
        <v>607</v>
      </c>
      <c r="G53" s="9" t="s">
        <v>608</v>
      </c>
      <c r="H53" s="22" t="s">
        <v>609</v>
      </c>
      <c r="I53" s="9" t="s">
        <v>460</v>
      </c>
      <c r="J53" s="10">
        <f>VLOOKUP(F53,F:I,4,0)=I53</f>
      </c>
      <c r="K53" s="1"/>
      <c r="L53" s="1"/>
      <c r="M53" s="74">
        <f>CHAR(10)&amp;"'"&amp;F53&amp;"' =&gt; ("&amp;IF(I53="字符串","string)",IF(I53="数值","int)",IF(I53="布尔","bool)","int)time")))&amp;" _, //"&amp;G53&amp;", 如: "&amp;H53</f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x14ac:dyDescent="0.25" r="54" customHeight="1" ht="18">
      <c r="A54" s="70"/>
      <c r="B54" s="71"/>
      <c r="C54" s="35"/>
      <c r="D54" s="35"/>
      <c r="E54" s="35"/>
      <c r="F54" s="9" t="s">
        <v>610</v>
      </c>
      <c r="G54" s="9" t="s">
        <v>611</v>
      </c>
      <c r="H54" s="88">
        <v>25569.333842592594</v>
      </c>
      <c r="I54" s="9" t="s">
        <v>468</v>
      </c>
      <c r="J54" s="10">
        <f>VLOOKUP(F54,F:I,4,0)=I54</f>
      </c>
      <c r="K54" s="1"/>
      <c r="L54" s="1"/>
      <c r="M54" s="74">
        <f>CHAR(10)&amp;"'"&amp;F54&amp;"' =&gt; ("&amp;IF(I54="字符串","string)",IF(I54="数值","int)",IF(I54="布尔","bool)","int)time")))&amp;" _, //"&amp;G54&amp;", 如: "&amp;H54</f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x14ac:dyDescent="0.25" r="55" customHeight="1" ht="18">
      <c r="A55" s="70"/>
      <c r="B55" s="71"/>
      <c r="C55" s="35"/>
      <c r="D55" s="35"/>
      <c r="E55" s="35"/>
      <c r="F55" s="9" t="s">
        <v>612</v>
      </c>
      <c r="G55" s="9" t="s">
        <v>613</v>
      </c>
      <c r="H55" s="88">
        <v>25569.333842592594</v>
      </c>
      <c r="I55" s="9" t="s">
        <v>468</v>
      </c>
      <c r="J55" s="10">
        <f>VLOOKUP(F55,F:I,4,0)=I55</f>
      </c>
      <c r="K55" s="1"/>
      <c r="L55" s="1"/>
      <c r="M55" s="74">
        <f>CHAR(10)&amp;"'"&amp;F55&amp;"' =&gt; ("&amp;IF(I55="字符串","string)",IF(I55="数值","int)",IF(I55="布尔","bool)","int)time")))&amp;" _, //"&amp;G55&amp;", 如: "&amp;H55</f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x14ac:dyDescent="0.25" r="56" customHeight="1" ht="18">
      <c r="A56" s="70"/>
      <c r="B56" s="71"/>
      <c r="C56" s="35"/>
      <c r="D56" s="35"/>
      <c r="E56" s="35"/>
      <c r="F56" s="9" t="s">
        <v>614</v>
      </c>
      <c r="G56" s="9" t="s">
        <v>615</v>
      </c>
      <c r="H56" s="88">
        <v>25569.333842592594</v>
      </c>
      <c r="I56" s="9" t="s">
        <v>468</v>
      </c>
      <c r="J56" s="10">
        <f>VLOOKUP(F56,F:I,4,0)=I56</f>
      </c>
      <c r="K56" s="1"/>
      <c r="L56" s="1"/>
      <c r="M56" s="84">
        <f>CHAR(10)&amp;"'"&amp;F56&amp;"' =&gt; ("&amp;IF(I56="字符串","string)",IF(I56="数值","int)",IF(I56="布尔","bool)","int)time")))&amp;" _, //"&amp;G56&amp;", 如: "&amp;H56</f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x14ac:dyDescent="0.25" r="57" customHeight="1" ht="18">
      <c r="A57" s="70"/>
      <c r="B57" s="71"/>
      <c r="C57" s="34" t="s">
        <v>616</v>
      </c>
      <c r="D57" s="34" t="s">
        <v>617</v>
      </c>
      <c r="E57" s="34" t="s">
        <v>618</v>
      </c>
      <c r="F57" s="9" t="s">
        <v>619</v>
      </c>
      <c r="G57" s="9" t="s">
        <v>620</v>
      </c>
      <c r="H57" s="10">
        <v>1</v>
      </c>
      <c r="I57" s="9" t="s">
        <v>460</v>
      </c>
      <c r="J57" s="10">
        <f>VLOOKUP(F57,F:I,4,0)=I57</f>
      </c>
      <c r="K57" s="89"/>
      <c r="L57" s="89"/>
      <c r="M57" s="90">
        <f>CHAR(10)&amp;"'"&amp;F57&amp;"' =&gt; ("&amp;IF(I57="字符串","string)",IF(I57="数值","int)",IF(I57="布尔","bool)","int)time")))&amp;" _, //"&amp;G57&amp;", 如: "&amp;H57</f>
      </c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</row>
    <row x14ac:dyDescent="0.25" r="58" customHeight="1" ht="18">
      <c r="A58" s="70"/>
      <c r="B58" s="71"/>
      <c r="C58" s="35"/>
      <c r="D58" s="35"/>
      <c r="E58" s="35"/>
      <c r="F58" s="9" t="s">
        <v>621</v>
      </c>
      <c r="G58" s="9" t="s">
        <v>508</v>
      </c>
      <c r="H58" s="10">
        <v>1001</v>
      </c>
      <c r="I58" s="9" t="s">
        <v>460</v>
      </c>
      <c r="J58" s="10">
        <f>VLOOKUP(F58,F:I,4,0)=I58</f>
      </c>
      <c r="K58" s="89"/>
      <c r="L58" s="89"/>
      <c r="M58" s="91">
        <f>CHAR(10)&amp;"'"&amp;F58&amp;"' =&gt; ("&amp;IF(I58="字符串","string)",IF(I58="数值","int)",IF(I58="布尔","bool)","int)time")))&amp;" _, //"&amp;G58&amp;", 如: "&amp;H58</f>
      </c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</row>
    <row x14ac:dyDescent="0.25" r="59" customHeight="1" ht="18">
      <c r="A59" s="70"/>
      <c r="B59" s="71"/>
      <c r="C59" s="35"/>
      <c r="D59" s="35"/>
      <c r="E59" s="35"/>
      <c r="F59" s="9" t="s">
        <v>622</v>
      </c>
      <c r="G59" s="9" t="s">
        <v>623</v>
      </c>
      <c r="H59" s="22" t="s">
        <v>624</v>
      </c>
      <c r="I59" s="9" t="s">
        <v>625</v>
      </c>
      <c r="J59" s="10">
        <f>VLOOKUP(F59,F:I,4,0)=I59</f>
      </c>
      <c r="K59" s="89"/>
      <c r="L59" s="89"/>
      <c r="M59" s="92">
        <f>CHAR(10)&amp;"'"&amp;F59&amp;"' =&gt; ("&amp;IF(I59="字符串","string)",IF(I59="数值","int)",IF(I59="布尔","bool)","int)time")))&amp;" _, //"&amp;G59&amp;", 如: "&amp;H59</f>
      </c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</row>
    <row x14ac:dyDescent="0.25" r="60" customHeight="1" ht="18">
      <c r="A60" s="70"/>
      <c r="B60" s="71"/>
      <c r="C60" s="34" t="s">
        <v>626</v>
      </c>
      <c r="D60" s="34" t="s">
        <v>138</v>
      </c>
      <c r="E60" s="34" t="s">
        <v>627</v>
      </c>
      <c r="F60" s="30" t="s">
        <v>628</v>
      </c>
      <c r="G60" s="9" t="s">
        <v>629</v>
      </c>
      <c r="H60" s="10">
        <v>1</v>
      </c>
      <c r="I60" s="9" t="s">
        <v>481</v>
      </c>
      <c r="J60" s="10">
        <f>VLOOKUP(F60,F:I,4,0)=I60</f>
      </c>
      <c r="K60" s="1"/>
      <c r="L60" s="1"/>
      <c r="M60" s="87">
        <f>CHAR(10)&amp;"'"&amp;F60&amp;"' =&gt; ("&amp;IF(I60="字符串","string)",IF(I60="数值","int)",IF(I60="布尔","bool)","int)time")))&amp;" _, //"&amp;G60&amp;", 如: "&amp;H60</f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x14ac:dyDescent="0.25" r="61" customHeight="1" ht="18">
      <c r="A61" s="70"/>
      <c r="B61" s="71"/>
      <c r="C61" s="35"/>
      <c r="D61" s="35"/>
      <c r="E61" s="35"/>
      <c r="F61" s="9" t="s">
        <v>630</v>
      </c>
      <c r="G61" s="9" t="s">
        <v>631</v>
      </c>
      <c r="H61" s="10">
        <v>1</v>
      </c>
      <c r="I61" s="9" t="s">
        <v>481</v>
      </c>
      <c r="J61" s="10">
        <f>VLOOKUP(F61,F:I,4,0)=I61</f>
      </c>
      <c r="K61" s="1"/>
      <c r="L61" s="1"/>
      <c r="M61" s="74">
        <f>CHAR(10)&amp;"'"&amp;F61&amp;"' =&gt; ("&amp;IF(I61="字符串","string)",IF(I61="数值","int)",IF(I61="布尔","bool)","int)time")))&amp;" _, //"&amp;G61&amp;", 如: "&amp;H61</f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x14ac:dyDescent="0.25" r="62" customHeight="1" ht="18">
      <c r="A62" s="70"/>
      <c r="B62" s="71"/>
      <c r="C62" s="35"/>
      <c r="D62" s="35"/>
      <c r="E62" s="35"/>
      <c r="F62" s="9" t="s">
        <v>632</v>
      </c>
      <c r="G62" s="9" t="s">
        <v>633</v>
      </c>
      <c r="H62" s="10">
        <v>2</v>
      </c>
      <c r="I62" s="9" t="s">
        <v>481</v>
      </c>
      <c r="J62" s="10">
        <f>VLOOKUP(F62,F:I,4,0)=I62</f>
      </c>
      <c r="K62" s="1"/>
      <c r="L62" s="1"/>
      <c r="M62" s="74">
        <f>CHAR(10)&amp;"'"&amp;F62&amp;"' =&gt; ("&amp;IF(I62="字符串","string)",IF(I62="数值","int)",IF(I62="布尔","bool)","int)time")))&amp;" _, //"&amp;G62&amp;", 如: "&amp;H62</f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x14ac:dyDescent="0.25" r="63" customHeight="1" ht="18">
      <c r="A63" s="70"/>
      <c r="B63" s="71"/>
      <c r="C63" s="35"/>
      <c r="D63" s="35"/>
      <c r="E63" s="35"/>
      <c r="F63" s="9" t="s">
        <v>634</v>
      </c>
      <c r="G63" s="9" t="s">
        <v>635</v>
      </c>
      <c r="H63" s="10" t="s">
        <v>636</v>
      </c>
      <c r="I63" s="9" t="s">
        <v>460</v>
      </c>
      <c r="J63" s="10">
        <f>VLOOKUP(F63,F:I,4,0)=I63</f>
      </c>
      <c r="K63" s="1"/>
      <c r="L63" s="1"/>
      <c r="M63" s="84">
        <f>CHAR(10)&amp;"'"&amp;F63&amp;"' =&gt; ("&amp;IF(I63="字符串","string)",IF(I63="数值","int)",IF(I63="布尔","bool)","int)time")))&amp;" _, //"&amp;G63&amp;", 如: "&amp;H63</f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x14ac:dyDescent="0.25" r="64" customHeight="1" ht="18">
      <c r="A64" s="70"/>
      <c r="B64" s="71"/>
      <c r="C64" s="66" t="s">
        <v>637</v>
      </c>
      <c r="D64" s="14" t="s">
        <v>81</v>
      </c>
      <c r="E64" s="66" t="s">
        <v>638</v>
      </c>
      <c r="F64" s="9" t="s">
        <v>639</v>
      </c>
      <c r="G64" s="9" t="s">
        <v>640</v>
      </c>
      <c r="H64" s="22" t="s">
        <v>641</v>
      </c>
      <c r="I64" s="9" t="s">
        <v>460</v>
      </c>
      <c r="J64" s="10">
        <f>VLOOKUP(F64,F:I,4,0)=I64</f>
      </c>
      <c r="K64" s="1"/>
      <c r="L64" s="1"/>
      <c r="M64" s="87">
        <f>CHAR(10)&amp;"'"&amp;F64&amp;"' =&gt; ("&amp;IF(I64="字符串","string)",IF(I64="数值","int)",IF(I64="布尔","bool)","int)time")))&amp;" _, //"&amp;G64&amp;", 如: "&amp;H64</f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x14ac:dyDescent="0.25" r="65" customHeight="1" ht="18">
      <c r="A65" s="70"/>
      <c r="B65" s="71"/>
      <c r="C65" s="71"/>
      <c r="D65" s="71"/>
      <c r="E65" s="71"/>
      <c r="F65" s="30" t="s">
        <v>642</v>
      </c>
      <c r="G65" s="30" t="s">
        <v>643</v>
      </c>
      <c r="H65" s="22" t="s">
        <v>644</v>
      </c>
      <c r="I65" s="9" t="s">
        <v>460</v>
      </c>
      <c r="J65" s="10">
        <f>VLOOKUP(F65,F:I,4,0)=I65</f>
      </c>
      <c r="K65" s="1"/>
      <c r="L65" s="1"/>
      <c r="M65" s="74">
        <f>CHAR(10)&amp;"'"&amp;F65&amp;"' =&gt; ("&amp;IF(I65="字符串","string)",IF(I65="数值","int)",IF(I65="布尔","bool)","int)time")))&amp;" _, //"&amp;G65&amp;", 如: "&amp;H65</f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x14ac:dyDescent="0.25" r="66" customHeight="1" ht="18">
      <c r="A66" s="70"/>
      <c r="B66" s="71"/>
      <c r="C66" s="71"/>
      <c r="D66" s="71"/>
      <c r="E66" s="71"/>
      <c r="F66" s="30" t="s">
        <v>645</v>
      </c>
      <c r="G66" s="30" t="s">
        <v>646</v>
      </c>
      <c r="H66" s="10">
        <v>123124</v>
      </c>
      <c r="I66" s="30" t="s">
        <v>481</v>
      </c>
      <c r="J66" s="10">
        <f>VLOOKUP(F66,F:I,4,0)=I66</f>
      </c>
      <c r="K66" s="1"/>
      <c r="L66" s="1"/>
      <c r="M66" s="74">
        <f>CHAR(10)&amp;"'"&amp;F66&amp;"' =&gt; ("&amp;IF(I66="字符串","string)",IF(I66="数值","int)",IF(I66="布尔","bool)","int)time")))&amp;" _, //"&amp;G66&amp;", 如: "&amp;H66</f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x14ac:dyDescent="0.25" r="67" customHeight="1" ht="18">
      <c r="A67" s="70"/>
      <c r="B67" s="71"/>
      <c r="C67" s="71"/>
      <c r="D67" s="71"/>
      <c r="E67" s="71"/>
      <c r="F67" s="30" t="s">
        <v>647</v>
      </c>
      <c r="G67" s="30" t="s">
        <v>648</v>
      </c>
      <c r="H67" s="10">
        <v>123</v>
      </c>
      <c r="I67" s="30" t="s">
        <v>460</v>
      </c>
      <c r="J67" s="10">
        <f>VLOOKUP(F67,F:I,4,0)=I67</f>
      </c>
      <c r="K67" s="1"/>
      <c r="L67" s="1"/>
      <c r="M67" s="84">
        <f>CHAR(10)&amp;"'"&amp;F67&amp;"' =&gt; ("&amp;IF(I67="字符串","string)",IF(I67="数值","int)",IF(I67="布尔","bool)","int)time")))&amp;" _, //"&amp;G67&amp;", 如: "&amp;H67</f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x14ac:dyDescent="0.25" r="68" customHeight="1" ht="18">
      <c r="A68" s="93"/>
      <c r="B68" s="81"/>
      <c r="C68" s="81"/>
      <c r="D68" s="81"/>
      <c r="E68" s="81"/>
      <c r="F68" s="9" t="s">
        <v>649</v>
      </c>
      <c r="G68" s="94" t="s">
        <v>650</v>
      </c>
      <c r="H68" s="77" t="s">
        <v>651</v>
      </c>
      <c r="I68" s="30" t="s">
        <v>460</v>
      </c>
      <c r="J68" s="10">
        <f>VLOOKUP(F68,F:I,4,0)=I68</f>
      </c>
      <c r="K68" s="1"/>
      <c r="L68" s="1"/>
      <c r="M68" s="7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x14ac:dyDescent="0.25" r="69" customHeight="1" ht="18">
      <c r="A69" s="95" t="s">
        <v>652</v>
      </c>
      <c r="B69" s="66" t="s">
        <v>653</v>
      </c>
      <c r="C69" s="34" t="s">
        <v>654</v>
      </c>
      <c r="D69" s="96" t="s">
        <v>655</v>
      </c>
      <c r="E69" s="34" t="s">
        <v>656</v>
      </c>
      <c r="F69" s="9" t="s">
        <v>657</v>
      </c>
      <c r="G69" s="9" t="s">
        <v>658</v>
      </c>
      <c r="H69" s="22" t="s">
        <v>659</v>
      </c>
      <c r="I69" s="9" t="s">
        <v>460</v>
      </c>
      <c r="J69" s="10">
        <f>VLOOKUP(F69,F:I,4,0)=I69</f>
      </c>
      <c r="K69" s="1"/>
      <c r="L69" s="1"/>
      <c r="M69" s="87">
        <f>CHAR(10)&amp;"'"&amp;F69&amp;"' =&gt; ("&amp;IF(I69="字符串","string)",IF(I69="数值","int)",IF(I69="布尔","bool)","int)time")))&amp;" _, //"&amp;G69&amp;", 如: "&amp;H69</f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x14ac:dyDescent="0.25" r="70" customHeight="1" ht="18">
      <c r="A70" s="70"/>
      <c r="B70" s="71"/>
      <c r="C70" s="35"/>
      <c r="D70" s="35"/>
      <c r="E70" s="35"/>
      <c r="F70" s="9" t="s">
        <v>660</v>
      </c>
      <c r="G70" s="9" t="s">
        <v>661</v>
      </c>
      <c r="H70" s="22" t="s">
        <v>662</v>
      </c>
      <c r="I70" s="9" t="s">
        <v>460</v>
      </c>
      <c r="J70" s="10">
        <f>VLOOKUP(F70,F:I,4,0)=I70</f>
      </c>
      <c r="K70" s="1"/>
      <c r="L70" s="1"/>
      <c r="M70" s="74">
        <f>CHAR(10)&amp;"'"&amp;F70&amp;"' =&gt; ("&amp;IF(I70="字符串","string)",IF(I70="数值","int)",IF(I70="布尔","bool)","int)time")))&amp;" _, //"&amp;G70&amp;", 如: "&amp;H70</f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x14ac:dyDescent="0.25" r="71" customHeight="1" ht="18">
      <c r="A71" s="70"/>
      <c r="B71" s="71"/>
      <c r="C71" s="35"/>
      <c r="D71" s="35"/>
      <c r="E71" s="35"/>
      <c r="F71" s="9" t="s">
        <v>663</v>
      </c>
      <c r="G71" s="9" t="s">
        <v>664</v>
      </c>
      <c r="H71" s="22" t="s">
        <v>665</v>
      </c>
      <c r="I71" s="9" t="s">
        <v>460</v>
      </c>
      <c r="J71" s="10">
        <f>VLOOKUP(F71,F:I,4,0)=I71</f>
      </c>
      <c r="K71" s="1"/>
      <c r="L71" s="1"/>
      <c r="M71" s="74">
        <f>CHAR(10)&amp;"'"&amp;F71&amp;"' =&gt; ("&amp;IF(I71="字符串","string)",IF(I71="数值","int)",IF(I71="布尔","bool)","int)time")))&amp;" _, //"&amp;G71&amp;", 如: "&amp;H71</f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x14ac:dyDescent="0.25" r="72" customHeight="1" ht="18">
      <c r="A72" s="97"/>
      <c r="B72" s="81"/>
      <c r="C72" s="35"/>
      <c r="D72" s="35"/>
      <c r="E72" s="35"/>
      <c r="F72" s="9" t="s">
        <v>634</v>
      </c>
      <c r="G72" s="9" t="s">
        <v>635</v>
      </c>
      <c r="H72" s="22" t="s">
        <v>666</v>
      </c>
      <c r="I72" s="9" t="s">
        <v>460</v>
      </c>
      <c r="J72" s="10">
        <f>VLOOKUP(F72,F:I,4,0)=I72</f>
      </c>
      <c r="K72" s="1"/>
      <c r="L72" s="1"/>
      <c r="M72" s="84">
        <f>CHAR(10)&amp;"'"&amp;F72&amp;"' =&gt; ("&amp;IF(I72="字符串","string)",IF(I72="数值","int)",IF(I72="布尔","bool)","int)time")))&amp;" _, //"&amp;G72&amp;", 如: "&amp;H72</f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x14ac:dyDescent="0.25" r="73" customHeight="1" ht="18">
      <c r="A73" s="34" t="s">
        <v>667</v>
      </c>
      <c r="B73" s="66" t="s">
        <v>668</v>
      </c>
      <c r="C73" s="34" t="s">
        <v>669</v>
      </c>
      <c r="D73" s="96" t="s">
        <v>670</v>
      </c>
      <c r="E73" s="34" t="s">
        <v>671</v>
      </c>
      <c r="F73" s="9" t="s">
        <v>672</v>
      </c>
      <c r="G73" s="9" t="s">
        <v>673</v>
      </c>
      <c r="H73" s="10">
        <v>678910</v>
      </c>
      <c r="I73" s="9" t="s">
        <v>460</v>
      </c>
      <c r="J73" s="10">
        <f>VLOOKUP(F73,F:I,4,0)=I73</f>
      </c>
      <c r="K73" s="1"/>
      <c r="L73" s="1"/>
      <c r="M73" s="87">
        <f>CHAR(10)&amp;"'"&amp;F73&amp;"' =&gt; ("&amp;IF(I73="字符串","string)",IF(I73="数值","int)",IF(I73="布尔","bool)","int)time")))&amp;" _, //"&amp;G73&amp;", 如: "&amp;H73</f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x14ac:dyDescent="0.25" r="74" customHeight="1" ht="18">
      <c r="A74" s="35"/>
      <c r="B74" s="71"/>
      <c r="C74" s="35"/>
      <c r="D74" s="35"/>
      <c r="E74" s="35"/>
      <c r="F74" s="9" t="s">
        <v>674</v>
      </c>
      <c r="G74" s="9" t="s">
        <v>675</v>
      </c>
      <c r="H74" s="10" t="s">
        <v>676</v>
      </c>
      <c r="I74" s="9" t="s">
        <v>460</v>
      </c>
      <c r="J74" s="10">
        <f>VLOOKUP(F74,F:I,4,0)=I74</f>
      </c>
      <c r="K74" s="1"/>
      <c r="L74" s="1"/>
      <c r="M74" s="74">
        <f>CHAR(10)&amp;"'"&amp;F74&amp;"' =&gt; ("&amp;IF(I74="字符串","string)",IF(I74="数值","int)",IF(I74="布尔","bool)","int)time")))&amp;" _, //"&amp;G74&amp;", 如: "&amp;H74</f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x14ac:dyDescent="0.25" r="75" customHeight="1" ht="18">
      <c r="A75" s="35"/>
      <c r="B75" s="81"/>
      <c r="C75" s="35"/>
      <c r="D75" s="35"/>
      <c r="E75" s="35"/>
      <c r="F75" s="9" t="s">
        <v>634</v>
      </c>
      <c r="G75" s="9" t="s">
        <v>635</v>
      </c>
      <c r="H75" s="10" t="s">
        <v>677</v>
      </c>
      <c r="I75" s="9" t="s">
        <v>460</v>
      </c>
      <c r="J75" s="10">
        <f>VLOOKUP(F75,F:I,4,0)=I75</f>
      </c>
      <c r="K75" s="1"/>
      <c r="L75" s="1"/>
      <c r="M75" s="84">
        <f>CHAR(10)&amp;"'"&amp;F75&amp;"' =&gt; ("&amp;IF(I75="字符串","string)",IF(I75="数值","int)",IF(I75="布尔","bool)","int)time")))&amp;" _, //"&amp;G75&amp;", 如: "&amp;H75</f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x14ac:dyDescent="0.25" r="76" customHeight="1" ht="18">
      <c r="A76" s="34" t="s">
        <v>678</v>
      </c>
      <c r="B76" s="66" t="s">
        <v>679</v>
      </c>
      <c r="C76" s="34" t="s">
        <v>680</v>
      </c>
      <c r="D76" s="96" t="s">
        <v>681</v>
      </c>
      <c r="E76" s="34" t="s">
        <v>682</v>
      </c>
      <c r="F76" s="9" t="s">
        <v>683</v>
      </c>
      <c r="G76" s="9" t="s">
        <v>684</v>
      </c>
      <c r="H76" s="10">
        <v>1</v>
      </c>
      <c r="I76" s="9" t="s">
        <v>460</v>
      </c>
      <c r="J76" s="10">
        <f>VLOOKUP(F76,F:I,4,0)=I76</f>
      </c>
      <c r="K76" s="1"/>
      <c r="L76" s="1"/>
      <c r="M76" s="87">
        <f>CHAR(10)&amp;"'"&amp;F76&amp;"' =&gt; ("&amp;IF(I76="字符串","string)",IF(I76="数值","int)",IF(I76="布尔","bool)","int)time")))&amp;" _, //"&amp;G76&amp;", 如: "&amp;H76</f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x14ac:dyDescent="0.25" r="77" customHeight="1" ht="18">
      <c r="A77" s="35"/>
      <c r="B77" s="71"/>
      <c r="C77" s="35"/>
      <c r="D77" s="35"/>
      <c r="E77" s="35"/>
      <c r="F77" s="9" t="s">
        <v>685</v>
      </c>
      <c r="G77" s="9" t="s">
        <v>686</v>
      </c>
      <c r="H77" s="10" t="s">
        <v>687</v>
      </c>
      <c r="I77" s="9" t="s">
        <v>460</v>
      </c>
      <c r="J77" s="10">
        <f>VLOOKUP(F77,F:I,4,0)=I77</f>
      </c>
      <c r="K77" s="1"/>
      <c r="L77" s="1"/>
      <c r="M77" s="74">
        <f>CHAR(10)&amp;"'"&amp;F77&amp;"' =&gt; ("&amp;IF(I77="字符串","string)",IF(I77="数值","int)",IF(I77="布尔","bool)","int)time")))&amp;" _, //"&amp;G77&amp;", 如: "&amp;H77</f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x14ac:dyDescent="0.25" r="78" customHeight="1" ht="18">
      <c r="A78" s="35"/>
      <c r="B78" s="71"/>
      <c r="C78" s="35"/>
      <c r="D78" s="35"/>
      <c r="E78" s="35"/>
      <c r="F78" s="9" t="s">
        <v>688</v>
      </c>
      <c r="G78" s="30" t="s">
        <v>689</v>
      </c>
      <c r="H78" s="22" t="s">
        <v>690</v>
      </c>
      <c r="I78" s="9" t="s">
        <v>460</v>
      </c>
      <c r="J78" s="10">
        <f>VLOOKUP(F78,F:I,4,0)=I78</f>
      </c>
      <c r="K78" s="1"/>
      <c r="L78" s="1"/>
      <c r="M78" s="74">
        <f>CHAR(10)&amp;"'"&amp;F78&amp;"' =&gt; ("&amp;IF(I78="字符串","string)",IF(I78="数值","int)",IF(I78="布尔","bool)","int)time")))&amp;" _, //"&amp;G78&amp;", 如: "&amp;H78</f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x14ac:dyDescent="0.25" r="79" customHeight="1" ht="18">
      <c r="A79" s="35"/>
      <c r="B79" s="71"/>
      <c r="C79" s="35"/>
      <c r="D79" s="35"/>
      <c r="E79" s="35"/>
      <c r="F79" s="30" t="s">
        <v>691</v>
      </c>
      <c r="G79" s="30" t="s">
        <v>692</v>
      </c>
      <c r="H79" s="22" t="s">
        <v>693</v>
      </c>
      <c r="I79" s="9" t="s">
        <v>460</v>
      </c>
      <c r="J79" s="10">
        <f>VLOOKUP(F79,F:I,4,0)=I79</f>
      </c>
      <c r="K79" s="1"/>
      <c r="L79" s="1"/>
      <c r="M79" s="74">
        <f>CHAR(10)&amp;"'"&amp;F79&amp;"' =&gt; ("&amp;IF(I79="字符串","string)",IF(I79="数值","int)",IF(I79="布尔","bool)","int)time")))&amp;" _, //"&amp;G79&amp;", 如: "&amp;H79</f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x14ac:dyDescent="0.25" r="80" customHeight="1" ht="18">
      <c r="A80" s="35"/>
      <c r="B80" s="71"/>
      <c r="C80" s="35"/>
      <c r="D80" s="35"/>
      <c r="E80" s="35"/>
      <c r="F80" s="9" t="s">
        <v>694</v>
      </c>
      <c r="G80" s="9" t="s">
        <v>695</v>
      </c>
      <c r="H80" s="10">
        <v>1</v>
      </c>
      <c r="I80" s="9" t="s">
        <v>481</v>
      </c>
      <c r="J80" s="10">
        <f>VLOOKUP(F80,F:I,4,0)=I80</f>
      </c>
      <c r="K80" s="1"/>
      <c r="L80" s="1"/>
      <c r="M80" s="74">
        <f>CHAR(10)&amp;"'"&amp;F80&amp;"' =&gt; ("&amp;IF(I80="字符串","string)",IF(I80="数值","int)",IF(I80="布尔","bool)","int)time")))&amp;" _, //"&amp;G80&amp;", 如: "&amp;H80</f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x14ac:dyDescent="0.25" r="81" customHeight="1" ht="18">
      <c r="A81" s="35"/>
      <c r="B81" s="71"/>
      <c r="C81" s="35"/>
      <c r="D81" s="35"/>
      <c r="E81" s="35"/>
      <c r="F81" s="9" t="s">
        <v>696</v>
      </c>
      <c r="G81" s="9" t="s">
        <v>697</v>
      </c>
      <c r="H81" s="10">
        <v>100000</v>
      </c>
      <c r="I81" s="9" t="s">
        <v>481</v>
      </c>
      <c r="J81" s="10">
        <f>VLOOKUP(F81,F:I,4,0)=I81</f>
      </c>
      <c r="K81" s="1"/>
      <c r="L81" s="1"/>
      <c r="M81" s="84">
        <f>CHAR(10)&amp;"'"&amp;F81&amp;"' =&gt; ("&amp;IF(I81="字符串","string)",IF(I81="数值","int)",IF(I81="布尔","bool)","int)time")))&amp;" _, //"&amp;G81&amp;", 如: "&amp;H81</f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x14ac:dyDescent="0.25" r="82" customHeight="1" ht="18">
      <c r="A82" s="35"/>
      <c r="B82" s="71"/>
      <c r="C82" s="34" t="s">
        <v>698</v>
      </c>
      <c r="D82" s="96" t="s">
        <v>699</v>
      </c>
      <c r="E82" s="34" t="s">
        <v>700</v>
      </c>
      <c r="F82" s="9" t="s">
        <v>683</v>
      </c>
      <c r="G82" s="9" t="s">
        <v>684</v>
      </c>
      <c r="H82" s="10">
        <v>1</v>
      </c>
      <c r="I82" s="9" t="s">
        <v>460</v>
      </c>
      <c r="J82" s="10">
        <f>VLOOKUP(F82,F:I,4,0)=I82</f>
      </c>
      <c r="K82" s="1"/>
      <c r="L82" s="1"/>
      <c r="M82" s="87">
        <f>CHAR(10)&amp;"'"&amp;F82&amp;"' =&gt; ("&amp;IF(I82="字符串","string)",IF(I82="数值","int)",IF(I82="布尔","bool)","int)time")))&amp;" _, //"&amp;G82&amp;", 如: "&amp;H82</f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x14ac:dyDescent="0.25" r="83" customHeight="1" ht="18">
      <c r="A83" s="35"/>
      <c r="B83" s="71"/>
      <c r="C83" s="35"/>
      <c r="D83" s="35"/>
      <c r="E83" s="35"/>
      <c r="F83" s="9" t="s">
        <v>685</v>
      </c>
      <c r="G83" s="9" t="s">
        <v>686</v>
      </c>
      <c r="H83" s="10" t="s">
        <v>687</v>
      </c>
      <c r="I83" s="9" t="s">
        <v>460</v>
      </c>
      <c r="J83" s="10">
        <f>VLOOKUP(F83,F:I,4,0)=I83</f>
      </c>
      <c r="K83" s="1"/>
      <c r="L83" s="1"/>
      <c r="M83" s="74">
        <f>CHAR(10)&amp;"'"&amp;F83&amp;"' =&gt; ("&amp;IF(I83="字符串","string)",IF(I83="数值","int)",IF(I83="布尔","bool)","int)time")))&amp;" _, //"&amp;G83&amp;", 如: "&amp;H83</f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x14ac:dyDescent="0.25" r="84" customHeight="1" ht="18">
      <c r="A84" s="35"/>
      <c r="B84" s="71"/>
      <c r="C84" s="35"/>
      <c r="D84" s="35"/>
      <c r="E84" s="35"/>
      <c r="F84" s="9" t="s">
        <v>694</v>
      </c>
      <c r="G84" s="9" t="s">
        <v>695</v>
      </c>
      <c r="H84" s="10">
        <v>1</v>
      </c>
      <c r="I84" s="9" t="s">
        <v>481</v>
      </c>
      <c r="J84" s="10">
        <f>VLOOKUP(F84,F:I,4,0)=I84</f>
      </c>
      <c r="K84" s="1"/>
      <c r="L84" s="1"/>
      <c r="M84" s="74">
        <f>CHAR(10)&amp;"'"&amp;F84&amp;"' =&gt; ("&amp;IF(I84="字符串","string)",IF(I84="数值","int)",IF(I84="布尔","bool)","int)time")))&amp;" _, //"&amp;G84&amp;", 如: "&amp;H84</f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x14ac:dyDescent="0.25" r="85" customHeight="1" ht="18">
      <c r="A85" s="35"/>
      <c r="B85" s="71"/>
      <c r="C85" s="35"/>
      <c r="D85" s="35"/>
      <c r="E85" s="35"/>
      <c r="F85" s="30" t="s">
        <v>691</v>
      </c>
      <c r="G85" s="30" t="s">
        <v>692</v>
      </c>
      <c r="H85" s="22" t="s">
        <v>693</v>
      </c>
      <c r="I85" s="9" t="s">
        <v>460</v>
      </c>
      <c r="J85" s="10">
        <f>VLOOKUP(F85,F:I,4,0)=I85</f>
      </c>
      <c r="K85" s="1"/>
      <c r="L85" s="1"/>
      <c r="M85" s="74">
        <f>CHAR(10)&amp;"'"&amp;F85&amp;"' =&gt; ("&amp;IF(I85="字符串","string)",IF(I85="数值","int)",IF(I85="布尔","bool)","int)time")))&amp;" _, //"&amp;G85&amp;", 如: "&amp;H85</f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x14ac:dyDescent="0.25" r="86" customHeight="1" ht="18">
      <c r="A86" s="35"/>
      <c r="B86" s="71"/>
      <c r="C86" s="35"/>
      <c r="D86" s="35"/>
      <c r="E86" s="35"/>
      <c r="F86" s="9" t="s">
        <v>701</v>
      </c>
      <c r="G86" s="9" t="s">
        <v>702</v>
      </c>
      <c r="H86" s="10" t="s">
        <v>703</v>
      </c>
      <c r="I86" s="9" t="s">
        <v>704</v>
      </c>
      <c r="J86" s="10">
        <f>VLOOKUP(F86,F:I,4,0)=I86</f>
      </c>
      <c r="K86" s="1"/>
      <c r="L86" s="1"/>
      <c r="M86" s="74">
        <f>CHAR(10)&amp;"'"&amp;F86&amp;"' =&gt; ("&amp;IF(I86="字符串","string)",IF(I86="数值","int)",IF(I86="布尔","bool)","int)time")))&amp;" _, //"&amp;G86&amp;", 如: "&amp;H86</f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x14ac:dyDescent="0.25" r="87" customHeight="1" ht="18">
      <c r="A87" s="35"/>
      <c r="B87" s="71"/>
      <c r="C87" s="35"/>
      <c r="D87" s="35"/>
      <c r="E87" s="35"/>
      <c r="F87" s="9" t="s">
        <v>705</v>
      </c>
      <c r="G87" s="9" t="s">
        <v>706</v>
      </c>
      <c r="H87" s="10" t="s">
        <v>570</v>
      </c>
      <c r="I87" s="9" t="s">
        <v>571</v>
      </c>
      <c r="J87" s="10">
        <f>VLOOKUP(F87,F:I,4,0)=I87</f>
      </c>
      <c r="K87" s="1"/>
      <c r="L87" s="1"/>
      <c r="M87" s="74">
        <f>CHAR(10)&amp;"'"&amp;F87&amp;"' =&gt; ("&amp;IF(I87="字符串","string)",IF(I87="数值","int)",IF(I87="布尔","bool)","int)time")))&amp;" _, //"&amp;G87&amp;", 如: "&amp;H87</f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x14ac:dyDescent="0.25" r="88" customHeight="1" ht="18">
      <c r="A88" s="35"/>
      <c r="B88" s="71"/>
      <c r="C88" s="35"/>
      <c r="D88" s="35"/>
      <c r="E88" s="35"/>
      <c r="F88" s="9" t="s">
        <v>614</v>
      </c>
      <c r="G88" s="9" t="s">
        <v>615</v>
      </c>
      <c r="H88" s="88">
        <v>25569.333842592594</v>
      </c>
      <c r="I88" s="9" t="s">
        <v>468</v>
      </c>
      <c r="J88" s="10">
        <f>VLOOKUP(F88,F:I,4,0)=I88</f>
      </c>
      <c r="K88" s="1"/>
      <c r="L88" s="1"/>
      <c r="M88" s="84">
        <f>CHAR(10)&amp;"'"&amp;F88&amp;"' =&gt; ("&amp;IF(I88="字符串","string)",IF(I88="数值","int)",IF(I88="布尔","bool)","int)time")))&amp;" _, //"&amp;G88&amp;", 如: "&amp;H88</f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x14ac:dyDescent="0.25" r="89" customHeight="1" ht="18">
      <c r="A89" s="35"/>
      <c r="B89" s="71"/>
      <c r="C89" s="34" t="s">
        <v>707</v>
      </c>
      <c r="D89" s="96" t="s">
        <v>708</v>
      </c>
      <c r="E89" s="34" t="s">
        <v>709</v>
      </c>
      <c r="F89" s="9" t="s">
        <v>685</v>
      </c>
      <c r="G89" s="9" t="s">
        <v>686</v>
      </c>
      <c r="H89" s="10" t="s">
        <v>687</v>
      </c>
      <c r="I89" s="9" t="s">
        <v>460</v>
      </c>
      <c r="J89" s="10">
        <f>VLOOKUP(F89,F:I,4,0)=I89</f>
      </c>
      <c r="K89" s="1"/>
      <c r="L89" s="1"/>
      <c r="M89" s="19">
        <f>CHAR(10)&amp;"'"&amp;F89&amp;"' =&gt; ("&amp;IF(I89="字符串","string)",IF(I89="数值","int)",IF(I89="布尔","bool)","int)time")))&amp;" _, //"&amp;G89&amp;", 如: "&amp;H89</f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x14ac:dyDescent="0.25" r="90" customHeight="1" ht="18">
      <c r="A90" s="35"/>
      <c r="B90" s="71"/>
      <c r="C90" s="35"/>
      <c r="D90" s="35"/>
      <c r="E90" s="35"/>
      <c r="F90" s="68" t="s">
        <v>630</v>
      </c>
      <c r="G90" s="94" t="s">
        <v>631</v>
      </c>
      <c r="H90" s="69">
        <v>1</v>
      </c>
      <c r="I90" s="68" t="s">
        <v>481</v>
      </c>
      <c r="J90" s="10">
        <f>VLOOKUP(F90,F:I,4,0)=I90</f>
      </c>
      <c r="K90" s="1"/>
      <c r="L90" s="1"/>
      <c r="M90" s="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x14ac:dyDescent="0.25" r="91" customHeight="1" ht="18">
      <c r="A91" s="35"/>
      <c r="B91" s="71"/>
      <c r="C91" s="35"/>
      <c r="D91" s="35"/>
      <c r="E91" s="35"/>
      <c r="F91" s="9" t="s">
        <v>628</v>
      </c>
      <c r="G91" s="9" t="s">
        <v>629</v>
      </c>
      <c r="H91" s="10">
        <v>1</v>
      </c>
      <c r="I91" s="9" t="s">
        <v>481</v>
      </c>
      <c r="J91" s="10">
        <f>VLOOKUP(F91,F:I,4,0)=I91</f>
      </c>
      <c r="K91" s="1"/>
      <c r="L91" s="1"/>
      <c r="M91" s="19">
        <f>CHAR(10)&amp;"'"&amp;F91&amp;"' =&gt; ("&amp;IF(I91="字符串","string)",IF(I91="数值","int)",IF(I91="布尔","bool)","int)time")))&amp;" _, //"&amp;G91&amp;", 如: "&amp;H91</f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x14ac:dyDescent="0.25" r="92" customHeight="1" ht="18">
      <c r="A92" s="35"/>
      <c r="B92" s="81"/>
      <c r="C92" s="35"/>
      <c r="D92" s="35"/>
      <c r="E92" s="35"/>
      <c r="F92" s="9" t="s">
        <v>632</v>
      </c>
      <c r="G92" s="9" t="s">
        <v>633</v>
      </c>
      <c r="H92" s="10">
        <v>2</v>
      </c>
      <c r="I92" s="9" t="s">
        <v>481</v>
      </c>
      <c r="J92" s="10">
        <f>VLOOKUP(F92,F:I,4,0)=I92</f>
      </c>
      <c r="K92" s="1"/>
      <c r="L92" s="1"/>
      <c r="M92" s="19">
        <f>CHAR(10)&amp;"'"&amp;F92&amp;"' =&gt; ("&amp;IF(I92="字符串","string)",IF(I92="数值","int)",IF(I92="布尔","bool)","int)time")))&amp;" _, //"&amp;G92&amp;", 如: "&amp;H92</f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x14ac:dyDescent="0.25" r="93" customHeight="1" ht="18">
      <c r="A93" s="14" t="s">
        <v>77</v>
      </c>
      <c r="B93" s="65" t="s">
        <v>710</v>
      </c>
      <c r="C93" s="96" t="s">
        <v>711</v>
      </c>
      <c r="D93" s="96" t="s">
        <v>119</v>
      </c>
      <c r="E93" s="96" t="s">
        <v>712</v>
      </c>
      <c r="F93" s="9" t="s">
        <v>713</v>
      </c>
      <c r="G93" s="30" t="s">
        <v>714</v>
      </c>
      <c r="H93" s="10" t="s">
        <v>715</v>
      </c>
      <c r="I93" s="9" t="s">
        <v>460</v>
      </c>
      <c r="J93" s="10">
        <f>VLOOKUP(F93,F:I,4,0)=I93</f>
      </c>
      <c r="K93" s="1"/>
      <c r="L93" s="1"/>
      <c r="M93" s="19">
        <f>CHAR(10)&amp;"'"&amp;F93&amp;"' =&gt; ("&amp;IF(I93="字符串","string)",IF(I93="数值","int)",IF(I93="布尔","bool)","int)time")))&amp;" _, //"&amp;G93&amp;", 如: "&amp;H93</f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x14ac:dyDescent="0.25" r="94" customHeight="1" ht="18">
      <c r="A94" s="71"/>
      <c r="B94" s="70"/>
      <c r="C94" s="35"/>
      <c r="D94" s="35"/>
      <c r="E94" s="35"/>
      <c r="F94" s="9" t="s">
        <v>628</v>
      </c>
      <c r="G94" s="9" t="s">
        <v>629</v>
      </c>
      <c r="H94" s="10">
        <v>1</v>
      </c>
      <c r="I94" s="9" t="s">
        <v>481</v>
      </c>
      <c r="J94" s="10">
        <f>VLOOKUP(F94,F:I,4,0)=I94</f>
      </c>
      <c r="K94" s="1"/>
      <c r="L94" s="1"/>
      <c r="M94" s="19">
        <f>CHAR(10)&amp;"'"&amp;F94&amp;"' =&gt; ("&amp;IF(I94="字符串","string)",IF(I94="数值","int)",IF(I94="布尔","bool)","int)time")))&amp;" _, //"&amp;G94&amp;", 如: "&amp;H94</f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x14ac:dyDescent="0.25" r="95" customHeight="1" ht="18">
      <c r="A95" s="81"/>
      <c r="B95" s="97"/>
      <c r="C95" s="35"/>
      <c r="D95" s="35"/>
      <c r="E95" s="35"/>
      <c r="F95" s="9" t="s">
        <v>632</v>
      </c>
      <c r="G95" s="9" t="s">
        <v>633</v>
      </c>
      <c r="H95" s="10">
        <v>2</v>
      </c>
      <c r="I95" s="9" t="s">
        <v>481</v>
      </c>
      <c r="J95" s="10">
        <f>VLOOKUP(F95,F:I,4,0)=I95</f>
      </c>
      <c r="K95" s="1"/>
      <c r="L95" s="1"/>
      <c r="M95" s="19">
        <f>CHAR(10)&amp;"'"&amp;F95&amp;"' =&gt; ("&amp;IF(I95="字符串","string)",IF(I95="数值","int)",IF(I95="布尔","bool)","int)time")))&amp;" _, //"&amp;G95&amp;", 如: "&amp;H95</f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x14ac:dyDescent="0.25" r="96" customHeight="1" ht="18">
      <c r="A96" s="98" t="s">
        <v>91</v>
      </c>
      <c r="B96" s="66" t="s">
        <v>716</v>
      </c>
      <c r="C96" s="96" t="s">
        <v>717</v>
      </c>
      <c r="D96" s="96" t="s">
        <v>91</v>
      </c>
      <c r="E96" s="96" t="s">
        <v>718</v>
      </c>
      <c r="F96" s="30" t="s">
        <v>719</v>
      </c>
      <c r="G96" s="30" t="s">
        <v>720</v>
      </c>
      <c r="H96" s="10" t="s">
        <v>721</v>
      </c>
      <c r="I96" s="9" t="s">
        <v>460</v>
      </c>
      <c r="J96" s="10">
        <f>VLOOKUP(F96,F:I,4,0)=I96</f>
      </c>
      <c r="K96" s="1"/>
      <c r="L96" s="1"/>
      <c r="M96" s="19">
        <f>CHAR(10)&amp;"'"&amp;F96&amp;"' =&gt; ("&amp;IF(I96="字符串","string)",IF(I96="数值","int)",IF(I96="布尔","bool)","int)time")))&amp;" _, //"&amp;G96&amp;", 如: "&amp;H96</f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x14ac:dyDescent="0.25" r="97" customHeight="1" ht="18">
      <c r="A97" s="70"/>
      <c r="B97" s="71"/>
      <c r="C97" s="35"/>
      <c r="D97" s="35"/>
      <c r="E97" s="35"/>
      <c r="F97" s="30" t="s">
        <v>722</v>
      </c>
      <c r="G97" s="30" t="s">
        <v>723</v>
      </c>
      <c r="H97" s="10" t="s">
        <v>724</v>
      </c>
      <c r="I97" s="9" t="s">
        <v>460</v>
      </c>
      <c r="J97" s="10">
        <f>VLOOKUP(F97,F:I,4,0)=I97</f>
      </c>
      <c r="K97" s="1"/>
      <c r="L97" s="1"/>
      <c r="M97" s="19">
        <f>CHAR(10)&amp;"'"&amp;F97&amp;"' =&gt; ("&amp;IF(I97="字符串","string)",IF(I97="数值","int)",IF(I97="布尔","bool)","int)time")))&amp;" _, //"&amp;G97&amp;", 如: "&amp;H97</f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x14ac:dyDescent="0.25" r="98" customHeight="1" ht="18">
      <c r="A98" s="70"/>
      <c r="B98" s="71"/>
      <c r="C98" s="35"/>
      <c r="D98" s="35"/>
      <c r="E98" s="35"/>
      <c r="F98" s="30" t="s">
        <v>725</v>
      </c>
      <c r="G98" s="33" t="s">
        <v>726</v>
      </c>
      <c r="H98" s="10">
        <v>6666</v>
      </c>
      <c r="I98" s="9" t="s">
        <v>481</v>
      </c>
      <c r="J98" s="10">
        <f>VLOOKUP(F98,F:I,4,0)=I98</f>
      </c>
      <c r="K98" s="1"/>
      <c r="L98" s="1"/>
      <c r="M98" s="19">
        <f>CHAR(10)&amp;"'"&amp;F98&amp;"' =&gt; ("&amp;IF(I98="字符串","string)",IF(I98="数值","int)",IF(I98="布尔","bool)","int)time")))&amp;" _, //"&amp;G98&amp;", 如: "&amp;H98</f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x14ac:dyDescent="0.25" r="99" customHeight="1" ht="18">
      <c r="A99" s="70"/>
      <c r="B99" s="71"/>
      <c r="C99" s="35"/>
      <c r="D99" s="35"/>
      <c r="E99" s="35"/>
      <c r="F99" s="9" t="s">
        <v>634</v>
      </c>
      <c r="G99" s="9" t="s">
        <v>635</v>
      </c>
      <c r="H99" s="22" t="s">
        <v>727</v>
      </c>
      <c r="I99" s="9" t="s">
        <v>460</v>
      </c>
      <c r="J99" s="10">
        <f>VLOOKUP(F99,F:I,4,0)=I99</f>
      </c>
      <c r="K99" s="1"/>
      <c r="L99" s="1"/>
      <c r="M99" s="19">
        <f>CHAR(10)&amp;"'"&amp;F99&amp;"' =&gt; ("&amp;IF(I99="字符串","string)",IF(I99="数值","int)",IF(I99="布尔","bool)","int)time")))&amp;" _, //"&amp;G99&amp;", 如: "&amp;H99</f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x14ac:dyDescent="0.25" r="100" customHeight="1" ht="18">
      <c r="A100" s="70"/>
      <c r="B100" s="71"/>
      <c r="C100" s="35"/>
      <c r="D100" s="35"/>
      <c r="E100" s="35"/>
      <c r="F100" s="9" t="s">
        <v>728</v>
      </c>
      <c r="G100" s="9" t="s">
        <v>729</v>
      </c>
      <c r="H100" s="10" t="s">
        <v>730</v>
      </c>
      <c r="I100" s="9" t="s">
        <v>460</v>
      </c>
      <c r="J100" s="10">
        <f>VLOOKUP(F100,F:I,4,0)=I100</f>
      </c>
      <c r="K100" s="1"/>
      <c r="L100" s="1"/>
      <c r="M100" s="19">
        <f>CHAR(10)&amp;"'"&amp;F100&amp;"' =&gt; ("&amp;IF(I100="字符串","string)",IF(I100="数值","int)",IF(I100="布尔","bool)","int)time")))&amp;" _, //"&amp;G100&amp;", 如: "&amp;H100</f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x14ac:dyDescent="0.25" r="101" customHeight="1" ht="18">
      <c r="A101" s="70"/>
      <c r="B101" s="71"/>
      <c r="C101" s="34" t="s">
        <v>731</v>
      </c>
      <c r="D101" s="96" t="s">
        <v>732</v>
      </c>
      <c r="E101" s="96" t="s">
        <v>733</v>
      </c>
      <c r="F101" s="30" t="s">
        <v>719</v>
      </c>
      <c r="G101" s="30" t="s">
        <v>720</v>
      </c>
      <c r="H101" s="10" t="s">
        <v>724</v>
      </c>
      <c r="I101" s="9" t="s">
        <v>460</v>
      </c>
      <c r="J101" s="10">
        <f>VLOOKUP(F101,F:I,4,0)=I101</f>
      </c>
      <c r="K101" s="1"/>
      <c r="L101" s="1"/>
      <c r="M101" s="19">
        <f>CHAR(10)&amp;"'"&amp;F101&amp;"' =&gt; ("&amp;IF(I101="字符串","string)",IF(I101="数值","int)",IF(I101="布尔","bool)","int)time")))&amp;" _, //"&amp;G101&amp;", 如: "&amp;H101</f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x14ac:dyDescent="0.25" r="102" customHeight="1" ht="18">
      <c r="A102" s="70"/>
      <c r="B102" s="71"/>
      <c r="C102" s="35"/>
      <c r="D102" s="35"/>
      <c r="E102" s="35"/>
      <c r="F102" s="30" t="s">
        <v>722</v>
      </c>
      <c r="G102" s="30" t="s">
        <v>723</v>
      </c>
      <c r="H102" s="22" t="s">
        <v>734</v>
      </c>
      <c r="I102" s="9" t="s">
        <v>460</v>
      </c>
      <c r="J102" s="10">
        <f>VLOOKUP(F102,F:I,4,0)=I102</f>
      </c>
      <c r="K102" s="1"/>
      <c r="L102" s="1"/>
      <c r="M102" s="19">
        <f>CHAR(10)&amp;"'"&amp;F102&amp;"' =&gt; ("&amp;IF(I102="字符串","string)",IF(I102="数值","int)",IF(I102="布尔","bool)","int)time")))&amp;" _, //"&amp;G102&amp;", 如: "&amp;H102</f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x14ac:dyDescent="0.25" r="103" customHeight="1" ht="18">
      <c r="A103" s="70"/>
      <c r="B103" s="71"/>
      <c r="C103" s="35"/>
      <c r="D103" s="35"/>
      <c r="E103" s="35"/>
      <c r="F103" s="9" t="s">
        <v>725</v>
      </c>
      <c r="G103" s="33" t="s">
        <v>726</v>
      </c>
      <c r="H103" s="10">
        <v>123</v>
      </c>
      <c r="I103" s="30" t="s">
        <v>481</v>
      </c>
      <c r="J103" s="10">
        <f>VLOOKUP(F103,F:I,4,0)=I103</f>
      </c>
      <c r="K103" s="1"/>
      <c r="L103" s="1"/>
      <c r="M103" s="19">
        <f>CHAR(10)&amp;"'"&amp;F103&amp;"' =&gt; ("&amp;IF(I103="字符串","string)",IF(I103="数值","int)",IF(I103="布尔","bool)","int)time")))&amp;" _, //"&amp;G103&amp;", 如: "&amp;H103</f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x14ac:dyDescent="0.25" r="104" customHeight="1" ht="18">
      <c r="A104" s="70"/>
      <c r="B104" s="71"/>
      <c r="C104" s="35"/>
      <c r="D104" s="35"/>
      <c r="E104" s="35"/>
      <c r="F104" s="9" t="s">
        <v>628</v>
      </c>
      <c r="G104" s="9" t="s">
        <v>629</v>
      </c>
      <c r="H104" s="37">
        <v>0</v>
      </c>
      <c r="I104" s="9" t="s">
        <v>481</v>
      </c>
      <c r="J104" s="10">
        <f>VLOOKUP(F104,F:I,4,0)=I104</f>
      </c>
      <c r="K104" s="1"/>
      <c r="L104" s="1"/>
      <c r="M104" s="19">
        <f>CHAR(10)&amp;"'"&amp;F104&amp;"' =&gt; ("&amp;IF(I104="字符串","string)",IF(I104="数值","int)",IF(I104="布尔","bool)","int)time")))&amp;" _, //"&amp;G104&amp;", 如: "&amp;H104</f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x14ac:dyDescent="0.25" r="105" customHeight="1" ht="18">
      <c r="A105" s="70"/>
      <c r="B105" s="71"/>
      <c r="C105" s="35"/>
      <c r="D105" s="35"/>
      <c r="E105" s="35"/>
      <c r="F105" s="20" t="s">
        <v>632</v>
      </c>
      <c r="G105" s="20" t="s">
        <v>633</v>
      </c>
      <c r="H105" s="22" t="s">
        <v>735</v>
      </c>
      <c r="I105" s="9" t="s">
        <v>481</v>
      </c>
      <c r="J105" s="10">
        <f>VLOOKUP(F105,F:I,4,0)=I105</f>
      </c>
      <c r="K105" s="1"/>
      <c r="L105" s="1"/>
      <c r="M105" s="19">
        <f>CHAR(10)&amp;"'"&amp;F105&amp;"' =&gt; ("&amp;IF(I105="字符串","string)",IF(I105="数值","int)",IF(I105="布尔","bool)","int)time")))&amp;" _, //"&amp;G105&amp;", 如: "&amp;H105</f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x14ac:dyDescent="0.25" r="106" customHeight="1" ht="18">
      <c r="A106" s="70"/>
      <c r="B106" s="71"/>
      <c r="C106" s="35"/>
      <c r="D106" s="35"/>
      <c r="E106" s="99"/>
      <c r="F106" s="9" t="s">
        <v>634</v>
      </c>
      <c r="G106" s="9" t="s">
        <v>635</v>
      </c>
      <c r="H106" s="10"/>
      <c r="I106" s="100" t="s">
        <v>460</v>
      </c>
      <c r="J106" s="10">
        <f>VLOOKUP(F106,F:I,4,0)=I106</f>
      </c>
      <c r="K106" s="1"/>
      <c r="L106" s="1"/>
      <c r="M106" s="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x14ac:dyDescent="0.25" r="107" customHeight="1" ht="18">
      <c r="A107" s="97"/>
      <c r="B107" s="81"/>
      <c r="C107" s="35"/>
      <c r="D107" s="35"/>
      <c r="E107" s="99"/>
      <c r="F107" s="9" t="s">
        <v>736</v>
      </c>
      <c r="G107" s="9" t="s">
        <v>737</v>
      </c>
      <c r="H107" s="10" t="s">
        <v>738</v>
      </c>
      <c r="I107" s="9" t="s">
        <v>460</v>
      </c>
      <c r="J107" s="10">
        <f>VLOOKUP(F107,F:I,4,0)=I107</f>
      </c>
      <c r="K107" s="1"/>
      <c r="L107" s="1"/>
      <c r="M107" s="19">
        <f>CHAR(10)&amp;"'"&amp;F107&amp;"' =&gt; ("&amp;IF(I107="字符串","string)",IF(I107="数值","int)",IF(I107="布尔","bool)","int)time")))&amp;" _, //"&amp;G107&amp;", 如: "&amp;H107</f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x14ac:dyDescent="0.25" r="108" customHeight="1" ht="18">
      <c r="A108" s="101" t="s">
        <v>739</v>
      </c>
      <c r="B108" s="66" t="s">
        <v>740</v>
      </c>
      <c r="C108" s="34" t="s">
        <v>741</v>
      </c>
      <c r="D108" s="96" t="s">
        <v>739</v>
      </c>
      <c r="E108" s="96" t="s">
        <v>742</v>
      </c>
      <c r="F108" s="102" t="s">
        <v>743</v>
      </c>
      <c r="G108" s="103" t="s">
        <v>744</v>
      </c>
      <c r="H108" s="16" t="s">
        <v>734</v>
      </c>
      <c r="I108" s="102" t="s">
        <v>460</v>
      </c>
      <c r="J108" s="10">
        <f>VLOOKUP(F108,F:I,4,0)=I108</f>
      </c>
      <c r="K108" s="1"/>
      <c r="L108" s="1"/>
      <c r="M108" s="19">
        <f>CHAR(10)&amp;"'"&amp;F108&amp;"' =&gt; ("&amp;IF(I108="字符串","string)",IF(I108="数值","int)",IF(I108="布尔","bool)","int)time")))&amp;" _, //"&amp;G108&amp;", 如: "&amp;H108</f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x14ac:dyDescent="0.25" r="109" customHeight="1" ht="18">
      <c r="A109" s="70"/>
      <c r="B109" s="71"/>
      <c r="C109" s="35"/>
      <c r="D109" s="35"/>
      <c r="E109" s="35"/>
      <c r="F109" s="9" t="s">
        <v>745</v>
      </c>
      <c r="G109" s="30" t="s">
        <v>746</v>
      </c>
      <c r="H109" s="10">
        <v>1</v>
      </c>
      <c r="I109" s="9" t="s">
        <v>481</v>
      </c>
      <c r="J109" s="10">
        <f>VLOOKUP(F109,F:I,4,0)=I109</f>
      </c>
      <c r="K109" s="1"/>
      <c r="L109" s="1"/>
      <c r="M109" s="19">
        <f>CHAR(10)&amp;"'"&amp;F109&amp;"' =&gt; ("&amp;IF(I109="字符串","string)",IF(I109="数值","int)",IF(I109="布尔","bool)","int)time")))&amp;" _, //"&amp;G109&amp;", 如: "&amp;H109</f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x14ac:dyDescent="0.25" r="110" customHeight="1" ht="18">
      <c r="A110" s="70"/>
      <c r="B110" s="71"/>
      <c r="C110" s="35"/>
      <c r="D110" s="35"/>
      <c r="E110" s="35"/>
      <c r="F110" s="9" t="s">
        <v>747</v>
      </c>
      <c r="G110" s="30" t="s">
        <v>748</v>
      </c>
      <c r="H110" s="22" t="s">
        <v>644</v>
      </c>
      <c r="I110" s="9" t="s">
        <v>460</v>
      </c>
      <c r="J110" s="10">
        <f>VLOOKUP(F110,F:I,4,0)=I110</f>
      </c>
      <c r="K110" s="1"/>
      <c r="L110" s="1"/>
      <c r="M110" s="19">
        <f>CHAR(10)&amp;"'"&amp;F110&amp;"' =&gt; ("&amp;IF(I110="字符串","string)",IF(I110="数值","int)",IF(I110="布尔","bool)","int)time")))&amp;" _, //"&amp;G110&amp;", 如: "&amp;H110</f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x14ac:dyDescent="0.25" r="111" customHeight="1" ht="18">
      <c r="A111" s="70"/>
      <c r="B111" s="71"/>
      <c r="C111" s="35"/>
      <c r="D111" s="35"/>
      <c r="E111" s="35"/>
      <c r="F111" s="9" t="s">
        <v>749</v>
      </c>
      <c r="G111" s="9" t="s">
        <v>750</v>
      </c>
      <c r="H111" s="22" t="s">
        <v>751</v>
      </c>
      <c r="I111" s="9" t="s">
        <v>460</v>
      </c>
      <c r="J111" s="10">
        <f>VLOOKUP(F111,F:I,4,0)=I111</f>
      </c>
      <c r="K111" s="1"/>
      <c r="L111" s="1"/>
      <c r="M111" s="19">
        <f>CHAR(10)&amp;"'"&amp;F111&amp;"' =&gt; ("&amp;IF(I111="字符串","string)",IF(I111="数值","int)",IF(I111="布尔","bool)","int)time")))&amp;" _, //"&amp;G111&amp;", 如: "&amp;H111</f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x14ac:dyDescent="0.25" r="112" customHeight="1" ht="18">
      <c r="A112" s="70"/>
      <c r="B112" s="71"/>
      <c r="C112" s="35"/>
      <c r="D112" s="35"/>
      <c r="E112" s="35"/>
      <c r="F112" s="9" t="s">
        <v>752</v>
      </c>
      <c r="G112" s="9" t="s">
        <v>753</v>
      </c>
      <c r="H112" s="22" t="s">
        <v>754</v>
      </c>
      <c r="I112" s="9" t="s">
        <v>460</v>
      </c>
      <c r="J112" s="10">
        <f>VLOOKUP(F112,F:I,4,0)=I112</f>
      </c>
      <c r="K112" s="1"/>
      <c r="L112" s="1"/>
      <c r="M112" s="19">
        <f>CHAR(10)&amp;"'"&amp;F112&amp;"' =&gt; ("&amp;IF(I112="字符串","string)",IF(I112="数值","int)",IF(I112="布尔","bool)","int)time")))&amp;" _, //"&amp;G112&amp;", 如: "&amp;H112</f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x14ac:dyDescent="0.25" r="113" customHeight="1" ht="18">
      <c r="A113" s="70"/>
      <c r="B113" s="71"/>
      <c r="C113" s="104" t="s">
        <v>755</v>
      </c>
      <c r="D113" s="105" t="s">
        <v>756</v>
      </c>
      <c r="E113" s="105" t="s">
        <v>756</v>
      </c>
      <c r="F113" s="106" t="s">
        <v>743</v>
      </c>
      <c r="G113" s="103" t="s">
        <v>744</v>
      </c>
      <c r="H113" s="16" t="s">
        <v>734</v>
      </c>
      <c r="I113" s="102" t="s">
        <v>460</v>
      </c>
      <c r="J113" s="10">
        <f>VLOOKUP(F113,F:I,4,0)=I113</f>
      </c>
      <c r="K113" s="1"/>
      <c r="L113" s="1"/>
      <c r="M113" s="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x14ac:dyDescent="0.25" r="114" customHeight="1" ht="18">
      <c r="A114" s="70"/>
      <c r="B114" s="71"/>
      <c r="C114" s="71"/>
      <c r="D114" s="70"/>
      <c r="E114" s="70"/>
      <c r="F114" s="107" t="s">
        <v>745</v>
      </c>
      <c r="G114" s="30" t="s">
        <v>746</v>
      </c>
      <c r="H114" s="10">
        <v>1</v>
      </c>
      <c r="I114" s="9" t="s">
        <v>481</v>
      </c>
      <c r="J114" s="10">
        <f>VLOOKUP(F114,F:I,4,0)=I114</f>
      </c>
      <c r="K114" s="1"/>
      <c r="L114" s="1"/>
      <c r="M114" s="6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x14ac:dyDescent="0.25" r="115" customHeight="1" ht="18">
      <c r="A115" s="70"/>
      <c r="B115" s="71"/>
      <c r="C115" s="71"/>
      <c r="D115" s="70"/>
      <c r="E115" s="70"/>
      <c r="F115" s="107" t="s">
        <v>747</v>
      </c>
      <c r="G115" s="30" t="s">
        <v>748</v>
      </c>
      <c r="H115" s="22" t="s">
        <v>644</v>
      </c>
      <c r="I115" s="9" t="s">
        <v>460</v>
      </c>
      <c r="J115" s="10">
        <f>VLOOKUP(F115,F:I,4,0)=I115</f>
      </c>
      <c r="K115" s="1"/>
      <c r="L115" s="1"/>
      <c r="M115" s="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x14ac:dyDescent="0.25" r="116" customHeight="1" ht="18">
      <c r="A116" s="70"/>
      <c r="B116" s="81"/>
      <c r="C116" s="81"/>
      <c r="D116" s="70"/>
      <c r="E116" s="70"/>
      <c r="F116" s="107" t="s">
        <v>757</v>
      </c>
      <c r="G116" s="30" t="s">
        <v>758</v>
      </c>
      <c r="H116" s="22" t="s">
        <v>751</v>
      </c>
      <c r="I116" s="9" t="s">
        <v>460</v>
      </c>
      <c r="J116" s="10">
        <f>VLOOKUP(F116,F:I,4,0)=I116</f>
      </c>
      <c r="K116" s="1"/>
      <c r="L116" s="1"/>
      <c r="M116" s="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x14ac:dyDescent="0.25" r="117" customHeight="1" ht="18">
      <c r="A117" s="101" t="s">
        <v>88</v>
      </c>
      <c r="B117" s="66" t="s">
        <v>759</v>
      </c>
      <c r="C117" s="34" t="s">
        <v>760</v>
      </c>
      <c r="D117" s="34" t="s">
        <v>761</v>
      </c>
      <c r="E117" s="34" t="s">
        <v>762</v>
      </c>
      <c r="F117" s="9" t="s">
        <v>763</v>
      </c>
      <c r="G117" s="9" t="s">
        <v>764</v>
      </c>
      <c r="H117" s="10" t="s">
        <v>765</v>
      </c>
      <c r="I117" s="9" t="s">
        <v>460</v>
      </c>
      <c r="J117" s="10">
        <f>VLOOKUP(F117,F:I,4,0)=I117</f>
      </c>
      <c r="K117" s="1"/>
      <c r="L117" s="1"/>
      <c r="M117" s="19">
        <f>CHAR(10)&amp;"'"&amp;F117&amp;"' =&gt; ("&amp;IF(I117="字符串","string)",IF(I117="数值","int)",IF(I117="布尔","bool)","int)time")))&amp;" _, //"&amp;G117&amp;", 如: "&amp;H117</f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x14ac:dyDescent="0.25" r="118" customHeight="1" ht="18">
      <c r="A118" s="70"/>
      <c r="B118" s="71"/>
      <c r="C118" s="35"/>
      <c r="D118" s="35"/>
      <c r="E118" s="35"/>
      <c r="F118" s="9" t="s">
        <v>766</v>
      </c>
      <c r="G118" s="9" t="s">
        <v>767</v>
      </c>
      <c r="H118" s="10">
        <v>1</v>
      </c>
      <c r="I118" s="9" t="s">
        <v>460</v>
      </c>
      <c r="J118" s="10">
        <f>VLOOKUP(F118,F:I,4,0)=I118</f>
      </c>
      <c r="K118" s="1"/>
      <c r="L118" s="1"/>
      <c r="M118" s="19">
        <f>CHAR(10)&amp;"'"&amp;F118&amp;"' =&gt; ("&amp;IF(I118="字符串","string)",IF(I118="数值","int)",IF(I118="布尔","bool)","int)time")))&amp;" _, //"&amp;G118&amp;", 如: "&amp;H118</f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x14ac:dyDescent="0.25" r="119" customHeight="1" ht="18">
      <c r="A119" s="70"/>
      <c r="B119" s="71"/>
      <c r="C119" s="35"/>
      <c r="D119" s="35"/>
      <c r="E119" s="35"/>
      <c r="F119" s="9" t="s">
        <v>768</v>
      </c>
      <c r="G119" s="9" t="s">
        <v>769</v>
      </c>
      <c r="H119" s="10">
        <v>1</v>
      </c>
      <c r="I119" s="9" t="s">
        <v>481</v>
      </c>
      <c r="J119" s="10">
        <f>VLOOKUP(F119,F:I,4,0)=I119</f>
      </c>
      <c r="K119" s="1"/>
      <c r="L119" s="1"/>
      <c r="M119" s="19">
        <f>CHAR(10)&amp;"'"&amp;F119&amp;"' =&gt; ("&amp;IF(I119="字符串","string)",IF(I119="数值","int)",IF(I119="布尔","bool)","int)time")))&amp;" _, //"&amp;G119&amp;", 如: "&amp;H119</f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x14ac:dyDescent="0.25" r="120" customHeight="1" ht="18">
      <c r="A120" s="70"/>
      <c r="B120" s="71"/>
      <c r="C120" s="35"/>
      <c r="D120" s="35"/>
      <c r="E120" s="35"/>
      <c r="F120" s="9" t="s">
        <v>770</v>
      </c>
      <c r="G120" s="9" t="s">
        <v>771</v>
      </c>
      <c r="H120" s="10">
        <v>6666</v>
      </c>
      <c r="I120" s="9" t="s">
        <v>481</v>
      </c>
      <c r="J120" s="10">
        <f>VLOOKUP(F120,F:I,4,0)=I120</f>
      </c>
      <c r="K120" s="1"/>
      <c r="L120" s="1"/>
      <c r="M120" s="19">
        <f>CHAR(10)&amp;"'"&amp;F120&amp;"' =&gt; ("&amp;IF(I120="字符串","string)",IF(I120="数值","int)",IF(I120="布尔","bool)","int)time")))&amp;" _, //"&amp;G120&amp;", 如: "&amp;H120</f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x14ac:dyDescent="0.25" r="121" customHeight="1" ht="18">
      <c r="A121" s="70"/>
      <c r="B121" s="71"/>
      <c r="C121" s="35"/>
      <c r="D121" s="35"/>
      <c r="E121" s="35"/>
      <c r="F121" s="9" t="s">
        <v>630</v>
      </c>
      <c r="G121" s="9" t="s">
        <v>631</v>
      </c>
      <c r="H121" s="10">
        <v>1</v>
      </c>
      <c r="I121" s="9" t="s">
        <v>481</v>
      </c>
      <c r="J121" s="10">
        <f>VLOOKUP(F121,F:I,4,0)=I121</f>
      </c>
      <c r="K121" s="1"/>
      <c r="L121" s="1"/>
      <c r="M121" s="19">
        <f>CHAR(10)&amp;"'"&amp;F121&amp;"' =&gt; ("&amp;IF(I121="字符串","string)",IF(I121="数值","int)",IF(I121="布尔","bool)","int)time")))&amp;" _, //"&amp;G121&amp;", 如: "&amp;H121</f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x14ac:dyDescent="0.25" r="122" customHeight="1" ht="18">
      <c r="A122" s="70"/>
      <c r="B122" s="71"/>
      <c r="C122" s="35"/>
      <c r="D122" s="35"/>
      <c r="E122" s="35"/>
      <c r="F122" s="9" t="s">
        <v>628</v>
      </c>
      <c r="G122" s="9" t="s">
        <v>629</v>
      </c>
      <c r="H122" s="10">
        <v>-1</v>
      </c>
      <c r="I122" s="9" t="s">
        <v>481</v>
      </c>
      <c r="J122" s="10">
        <f>VLOOKUP(F122,F:I,4,0)=I122</f>
      </c>
      <c r="K122" s="1"/>
      <c r="L122" s="1"/>
      <c r="M122" s="19">
        <f>CHAR(10)&amp;"'"&amp;F122&amp;"' =&gt; ("&amp;IF(I122="字符串","string)",IF(I122="数值","int)",IF(I122="布尔","bool)","int)time")))&amp;" _, //"&amp;G122&amp;", 如: "&amp;H122</f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x14ac:dyDescent="0.25" r="123" customHeight="1" ht="18">
      <c r="A123" s="70"/>
      <c r="B123" s="71"/>
      <c r="C123" s="35"/>
      <c r="D123" s="35"/>
      <c r="E123" s="35"/>
      <c r="F123" s="9" t="s">
        <v>632</v>
      </c>
      <c r="G123" s="9" t="s">
        <v>633</v>
      </c>
      <c r="H123" s="10">
        <v>2</v>
      </c>
      <c r="I123" s="9" t="s">
        <v>481</v>
      </c>
      <c r="J123" s="10">
        <f>VLOOKUP(F123,F:I,4,0)=I123</f>
      </c>
      <c r="K123" s="1"/>
      <c r="L123" s="1"/>
      <c r="M123" s="19">
        <f>CHAR(10)&amp;"'"&amp;F123&amp;"' =&gt; ("&amp;IF(I123="字符串","string)",IF(I123="数值","int)",IF(I123="布尔","bool)","int)time")))&amp;" _, //"&amp;G123&amp;", 如: "&amp;H123</f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x14ac:dyDescent="0.25" r="124" customHeight="1" ht="18">
      <c r="A124" s="70"/>
      <c r="B124" s="71"/>
      <c r="C124" s="35"/>
      <c r="D124" s="35"/>
      <c r="E124" s="35"/>
      <c r="F124" s="9" t="s">
        <v>634</v>
      </c>
      <c r="G124" s="9" t="s">
        <v>635</v>
      </c>
      <c r="H124" s="10" t="s">
        <v>772</v>
      </c>
      <c r="I124" s="9" t="s">
        <v>460</v>
      </c>
      <c r="J124" s="10">
        <f>VLOOKUP(F124,F:I,4,0)=I124</f>
      </c>
      <c r="K124" s="1"/>
      <c r="L124" s="1"/>
      <c r="M124" s="19">
        <f>CHAR(10)&amp;"'"&amp;F124&amp;"' =&gt; ("&amp;IF(I124="字符串","string)",IF(I124="数值","int)",IF(I124="布尔","bool)","int)time")))&amp;" _, //"&amp;G124&amp;", 如: "&amp;H124</f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x14ac:dyDescent="0.25" r="125" customHeight="1" ht="18">
      <c r="A125" s="101" t="s">
        <v>90</v>
      </c>
      <c r="B125" s="66" t="s">
        <v>773</v>
      </c>
      <c r="C125" s="34" t="s">
        <v>774</v>
      </c>
      <c r="D125" s="96" t="s">
        <v>90</v>
      </c>
      <c r="E125" s="96" t="s">
        <v>775</v>
      </c>
      <c r="F125" s="30" t="s">
        <v>776</v>
      </c>
      <c r="G125" s="30" t="s">
        <v>777</v>
      </c>
      <c r="H125" s="10" t="s">
        <v>721</v>
      </c>
      <c r="I125" s="9" t="s">
        <v>460</v>
      </c>
      <c r="J125" s="10">
        <f>VLOOKUP(F125,F:I,4,0)=I125</f>
      </c>
      <c r="K125" s="1"/>
      <c r="L125" s="1"/>
      <c r="M125" s="19">
        <f>CHAR(10)&amp;"'"&amp;F125&amp;"' =&gt; ("&amp;IF(I125="字符串","string)",IF(I125="数值","int)",IF(I125="布尔","bool)","int)time")))&amp;" _, //"&amp;G125&amp;", 如: "&amp;H125</f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x14ac:dyDescent="0.25" r="126" customHeight="1" ht="18">
      <c r="A126" s="70"/>
      <c r="B126" s="71"/>
      <c r="C126" s="35"/>
      <c r="D126" s="35"/>
      <c r="E126" s="35"/>
      <c r="F126" s="30" t="s">
        <v>778</v>
      </c>
      <c r="G126" s="30" t="s">
        <v>779</v>
      </c>
      <c r="H126" s="10" t="s">
        <v>724</v>
      </c>
      <c r="I126" s="9" t="s">
        <v>460</v>
      </c>
      <c r="J126" s="10">
        <f>VLOOKUP(F126,F:I,4,0)=I126</f>
      </c>
      <c r="K126" s="1"/>
      <c r="L126" s="1"/>
      <c r="M126" s="19">
        <f>CHAR(10)&amp;"'"&amp;F126&amp;"' =&gt; ("&amp;IF(I126="字符串","string)",IF(I126="数值","int)",IF(I126="布尔","bool)","int)time")))&amp;" _, //"&amp;G126&amp;", 如: "&amp;H126</f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x14ac:dyDescent="0.25" r="127" customHeight="1" ht="18">
      <c r="A127" s="70"/>
      <c r="B127" s="71"/>
      <c r="C127" s="35"/>
      <c r="D127" s="35"/>
      <c r="E127" s="35"/>
      <c r="F127" s="30" t="s">
        <v>780</v>
      </c>
      <c r="G127" s="30" t="s">
        <v>781</v>
      </c>
      <c r="H127" s="10">
        <v>6666</v>
      </c>
      <c r="I127" s="9" t="s">
        <v>481</v>
      </c>
      <c r="J127" s="10">
        <f>VLOOKUP(F127,F:I,4,0)=I127</f>
      </c>
      <c r="K127" s="1"/>
      <c r="L127" s="1"/>
      <c r="M127" s="19">
        <f>CHAR(10)&amp;"'"&amp;F127&amp;"' =&gt; ("&amp;IF(I127="字符串","string)",IF(I127="数值","int)",IF(I127="布尔","bool)","int)time")))&amp;" _, //"&amp;G127&amp;", 如: "&amp;H127</f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x14ac:dyDescent="0.25" r="128" customHeight="1" ht="18">
      <c r="A128" s="70"/>
      <c r="B128" s="71"/>
      <c r="C128" s="35"/>
      <c r="D128" s="35"/>
      <c r="E128" s="35"/>
      <c r="F128" s="9" t="s">
        <v>634</v>
      </c>
      <c r="G128" s="9" t="s">
        <v>635</v>
      </c>
      <c r="H128" s="10" t="s">
        <v>727</v>
      </c>
      <c r="I128" s="9" t="s">
        <v>460</v>
      </c>
      <c r="J128" s="10">
        <f>VLOOKUP(F128,F:I,4,0)=I128</f>
      </c>
      <c r="K128" s="1"/>
      <c r="L128" s="1"/>
      <c r="M128" s="19">
        <f>CHAR(10)&amp;"'"&amp;F128&amp;"' =&gt; ("&amp;IF(I128="字符串","string)",IF(I128="数值","int)",IF(I128="布尔","bool)","int)time")))&amp;" _, //"&amp;G128&amp;", 如: "&amp;H128</f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x14ac:dyDescent="0.25" r="129" customHeight="1" ht="18">
      <c r="A129" s="70"/>
      <c r="B129" s="71"/>
      <c r="C129" s="35"/>
      <c r="D129" s="35"/>
      <c r="E129" s="35"/>
      <c r="F129" s="9" t="s">
        <v>728</v>
      </c>
      <c r="G129" s="9" t="s">
        <v>729</v>
      </c>
      <c r="H129" s="10" t="s">
        <v>730</v>
      </c>
      <c r="I129" s="9" t="s">
        <v>460</v>
      </c>
      <c r="J129" s="10">
        <f>VLOOKUP(F129,F:I,4,0)=I129</f>
      </c>
      <c r="K129" s="1"/>
      <c r="L129" s="1"/>
      <c r="M129" s="19">
        <f>CHAR(10)&amp;"'"&amp;F129&amp;"' =&gt; ("&amp;IF(I129="字符串","string)",IF(I129="数值","int)",IF(I129="布尔","bool)","int)time")))&amp;" _, //"&amp;G129&amp;", 如: "&amp;H129</f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x14ac:dyDescent="0.25" r="130" customHeight="1" ht="18">
      <c r="A130" s="70"/>
      <c r="B130" s="71"/>
      <c r="C130" s="96" t="s">
        <v>782</v>
      </c>
      <c r="D130" s="96" t="s">
        <v>783</v>
      </c>
      <c r="E130" s="96" t="s">
        <v>784</v>
      </c>
      <c r="F130" s="30" t="s">
        <v>776</v>
      </c>
      <c r="G130" s="30" t="s">
        <v>777</v>
      </c>
      <c r="H130" s="10" t="s">
        <v>785</v>
      </c>
      <c r="I130" s="9" t="s">
        <v>460</v>
      </c>
      <c r="J130" s="10">
        <f>VLOOKUP(F130,F:I,4,0)=I130</f>
      </c>
      <c r="K130" s="1"/>
      <c r="L130" s="1"/>
      <c r="M130" s="19">
        <f>CHAR(10)&amp;"'"&amp;F130&amp;"' =&gt; ("&amp;IF(I130="字符串","string)",IF(I130="数值","int)",IF(I130="布尔","bool)","int)time")))&amp;" _, //"&amp;G130&amp;", 如: "&amp;H130</f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x14ac:dyDescent="0.25" r="131" customHeight="1" ht="18">
      <c r="A131" s="70"/>
      <c r="B131" s="71"/>
      <c r="C131" s="35"/>
      <c r="D131" s="35"/>
      <c r="E131" s="35"/>
      <c r="F131" s="30" t="s">
        <v>778</v>
      </c>
      <c r="G131" s="30" t="s">
        <v>779</v>
      </c>
      <c r="H131" s="10" t="s">
        <v>724</v>
      </c>
      <c r="I131" s="9" t="s">
        <v>460</v>
      </c>
      <c r="J131" s="10">
        <f>VLOOKUP(F131,F:I,4,0)=I131</f>
      </c>
      <c r="K131" s="1"/>
      <c r="L131" s="1"/>
      <c r="M131" s="19">
        <f>CHAR(10)&amp;"'"&amp;F131&amp;"' =&gt; ("&amp;IF(I131="字符串","string)",IF(I131="数值","int)",IF(I131="布尔","bool)","int)time")))&amp;" _, //"&amp;G131&amp;", 如: "&amp;H131</f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x14ac:dyDescent="0.25" r="132" customHeight="1" ht="18">
      <c r="A132" s="70"/>
      <c r="B132" s="71"/>
      <c r="C132" s="35"/>
      <c r="D132" s="35"/>
      <c r="E132" s="35"/>
      <c r="F132" s="30" t="s">
        <v>780</v>
      </c>
      <c r="G132" s="30" t="s">
        <v>781</v>
      </c>
      <c r="H132" s="10">
        <v>6666</v>
      </c>
      <c r="I132" s="9" t="s">
        <v>481</v>
      </c>
      <c r="J132" s="10">
        <f>VLOOKUP(F132,F:I,4,0)=I132</f>
      </c>
      <c r="K132" s="1"/>
      <c r="L132" s="1"/>
      <c r="M132" s="19">
        <f>CHAR(10)&amp;"'"&amp;F132&amp;"' =&gt; ("&amp;IF(I132="字符串","string)",IF(I132="数值","int)",IF(I132="布尔","bool)","int)time")))&amp;" _, //"&amp;G132&amp;", 如: "&amp;H132</f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x14ac:dyDescent="0.25" r="133" customHeight="1" ht="18">
      <c r="A133" s="70"/>
      <c r="B133" s="71"/>
      <c r="C133" s="35"/>
      <c r="D133" s="35"/>
      <c r="E133" s="35"/>
      <c r="F133" s="9" t="s">
        <v>628</v>
      </c>
      <c r="G133" s="9" t="s">
        <v>629</v>
      </c>
      <c r="H133" s="10">
        <v>-1</v>
      </c>
      <c r="I133" s="9" t="s">
        <v>481</v>
      </c>
      <c r="J133" s="10">
        <f>VLOOKUP(F133,F:I,4,0)=I133</f>
      </c>
      <c r="K133" s="1"/>
      <c r="L133" s="1"/>
      <c r="M133" s="19">
        <f>CHAR(10)&amp;"'"&amp;F133&amp;"' =&gt; ("&amp;IF(I133="字符串","string)",IF(I133="数值","int)",IF(I133="布尔","bool)","int)time")))&amp;" _, //"&amp;G133&amp;", 如: "&amp;H133</f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x14ac:dyDescent="0.25" r="134" customHeight="1" ht="18">
      <c r="A134" s="70"/>
      <c r="B134" s="71"/>
      <c r="C134" s="35"/>
      <c r="D134" s="35"/>
      <c r="E134" s="35"/>
      <c r="F134" s="20" t="s">
        <v>632</v>
      </c>
      <c r="G134" s="20" t="s">
        <v>633</v>
      </c>
      <c r="H134" s="37">
        <v>0</v>
      </c>
      <c r="I134" s="20" t="s">
        <v>481</v>
      </c>
      <c r="J134" s="10">
        <f>VLOOKUP(F134,F:I,4,0)=I134</f>
      </c>
      <c r="K134" s="1"/>
      <c r="L134" s="1"/>
      <c r="M134" s="19">
        <f>CHAR(10)&amp;"'"&amp;F134&amp;"' =&gt; ("&amp;IF(I134="字符串","string)",IF(I134="数值","int)",IF(I134="布尔","bool)","int)time")))&amp;" _, //"&amp;G134&amp;", 如: "&amp;H134</f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x14ac:dyDescent="0.25" r="135" customHeight="1" ht="18">
      <c r="A135" s="70"/>
      <c r="B135" s="71"/>
      <c r="C135" s="35"/>
      <c r="D135" s="35"/>
      <c r="E135" s="99"/>
      <c r="F135" s="9" t="s">
        <v>634</v>
      </c>
      <c r="G135" s="9" t="s">
        <v>635</v>
      </c>
      <c r="H135" s="22" t="s">
        <v>735</v>
      </c>
      <c r="I135" s="9" t="s">
        <v>460</v>
      </c>
      <c r="J135" s="10">
        <f>VLOOKUP(F135,F:I,4,0)=I135</f>
      </c>
      <c r="K135" s="1"/>
      <c r="L135" s="1"/>
      <c r="M135" s="19">
        <f>CHAR(10)&amp;"'"&amp;F135&amp;"' =&gt; ("&amp;IF(I135="字符串","string)",IF(I135="数值","int)",IF(I135="布尔","bool)","int)time")))&amp;" _, //"&amp;G135&amp;", 如: "&amp;H135</f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x14ac:dyDescent="0.25" r="136" customHeight="1" ht="18">
      <c r="A136" s="97"/>
      <c r="B136" s="81"/>
      <c r="C136" s="35"/>
      <c r="D136" s="35"/>
      <c r="E136" s="99"/>
      <c r="F136" s="9" t="s">
        <v>736</v>
      </c>
      <c r="G136" s="9" t="s">
        <v>737</v>
      </c>
      <c r="H136" s="10" t="s">
        <v>738</v>
      </c>
      <c r="I136" s="9" t="s">
        <v>460</v>
      </c>
      <c r="J136" s="10">
        <f>VLOOKUP(F136,F:I,4,0)=I136</f>
      </c>
      <c r="K136" s="1"/>
      <c r="L136" s="1"/>
      <c r="M136" s="19">
        <f>CHAR(10)&amp;"'"&amp;F136&amp;"' =&gt; ("&amp;IF(I136="字符串","string)",IF(I136="数值","int)",IF(I136="布尔","bool)","int)time")))&amp;" _, //"&amp;G136&amp;", 如: "&amp;H136</f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x14ac:dyDescent="0.25" r="137" customHeight="1" ht="18">
      <c r="A137" s="101" t="s">
        <v>89</v>
      </c>
      <c r="B137" s="66" t="s">
        <v>786</v>
      </c>
      <c r="C137" s="34" t="s">
        <v>787</v>
      </c>
      <c r="D137" s="96" t="s">
        <v>89</v>
      </c>
      <c r="E137" s="96" t="s">
        <v>788</v>
      </c>
      <c r="F137" s="30" t="s">
        <v>789</v>
      </c>
      <c r="G137" s="30" t="s">
        <v>790</v>
      </c>
      <c r="H137" s="10" t="s">
        <v>721</v>
      </c>
      <c r="I137" s="9" t="s">
        <v>460</v>
      </c>
      <c r="J137" s="10">
        <f>VLOOKUP(F137,F:I,4,0)=I137</f>
      </c>
      <c r="K137" s="1"/>
      <c r="L137" s="1"/>
      <c r="M137" s="19">
        <f>CHAR(10)&amp;"'"&amp;F137&amp;"' =&gt; ("&amp;IF(I137="字符串","string)",IF(I137="数值","int)",IF(I137="布尔","bool)","int)time")))&amp;" _, //"&amp;G137&amp;", 如: "&amp;H137</f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x14ac:dyDescent="0.25" r="138" customHeight="1" ht="18">
      <c r="A138" s="70"/>
      <c r="B138" s="71"/>
      <c r="C138" s="9"/>
      <c r="D138" s="9"/>
      <c r="E138" s="9"/>
      <c r="F138" s="30" t="s">
        <v>791</v>
      </c>
      <c r="G138" s="30" t="s">
        <v>792</v>
      </c>
      <c r="H138" s="10" t="s">
        <v>724</v>
      </c>
      <c r="I138" s="9" t="s">
        <v>460</v>
      </c>
      <c r="J138" s="10">
        <f>VLOOKUP(F138,F:I,4,0)=I138</f>
      </c>
      <c r="K138" s="1"/>
      <c r="L138" s="1"/>
      <c r="M138" s="19">
        <f>CHAR(10)&amp;"'"&amp;F138&amp;"' =&gt; ("&amp;IF(I138="字符串","string)",IF(I138="数值","int)",IF(I138="布尔","bool)","int)time")))&amp;" _, //"&amp;G138&amp;", 如: "&amp;H138</f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x14ac:dyDescent="0.25" r="139" customHeight="1" ht="18">
      <c r="A139" s="70"/>
      <c r="B139" s="71"/>
      <c r="C139" s="9"/>
      <c r="D139" s="9"/>
      <c r="E139" s="9"/>
      <c r="F139" s="30" t="s">
        <v>793</v>
      </c>
      <c r="G139" s="30" t="s">
        <v>794</v>
      </c>
      <c r="H139" s="10">
        <v>6666</v>
      </c>
      <c r="I139" s="9" t="s">
        <v>481</v>
      </c>
      <c r="J139" s="10">
        <f>VLOOKUP(F139,F:I,4,0)=I139</f>
      </c>
      <c r="K139" s="1"/>
      <c r="L139" s="1"/>
      <c r="M139" s="19">
        <f>CHAR(10)&amp;"'"&amp;F139&amp;"' =&gt; ("&amp;IF(I139="字符串","string)",IF(I139="数值","int)",IF(I139="布尔","bool)","int)time")))&amp;" _, //"&amp;G139&amp;", 如: "&amp;H139</f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x14ac:dyDescent="0.25" r="140" customHeight="1" ht="18">
      <c r="A140" s="70"/>
      <c r="B140" s="71"/>
      <c r="C140" s="9"/>
      <c r="D140" s="9"/>
      <c r="E140" s="9"/>
      <c r="F140" s="9" t="s">
        <v>634</v>
      </c>
      <c r="G140" s="9" t="s">
        <v>635</v>
      </c>
      <c r="H140" s="22" t="s">
        <v>727</v>
      </c>
      <c r="I140" s="9" t="s">
        <v>460</v>
      </c>
      <c r="J140" s="10">
        <f>VLOOKUP(F140,F:I,4,0)=I140</f>
      </c>
      <c r="K140" s="1"/>
      <c r="L140" s="1"/>
      <c r="M140" s="19">
        <f>CHAR(10)&amp;"'"&amp;F140&amp;"' =&gt; ("&amp;IF(I140="字符串","string)",IF(I140="数值","int)",IF(I140="布尔","bool)","int)time")))&amp;" _, //"&amp;G140&amp;", 如: "&amp;H140</f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x14ac:dyDescent="0.25" r="141" customHeight="1" ht="18">
      <c r="A141" s="70"/>
      <c r="B141" s="71"/>
      <c r="C141" s="9"/>
      <c r="D141" s="9"/>
      <c r="E141" s="9"/>
      <c r="F141" s="9" t="s">
        <v>728</v>
      </c>
      <c r="G141" s="9" t="s">
        <v>729</v>
      </c>
      <c r="H141" s="10" t="s">
        <v>730</v>
      </c>
      <c r="I141" s="9" t="s">
        <v>460</v>
      </c>
      <c r="J141" s="10">
        <f>VLOOKUP(F141,F:I,4,0)=I141</f>
      </c>
      <c r="K141" s="1"/>
      <c r="L141" s="1"/>
      <c r="M141" s="19">
        <f>CHAR(10)&amp;"'"&amp;F141&amp;"' =&gt; ("&amp;IF(I141="字符串","string)",IF(I141="数值","int)",IF(I141="布尔","bool)","int)time")))&amp;" _, //"&amp;G141&amp;", 如: "&amp;H141</f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x14ac:dyDescent="0.25" r="142" customHeight="1" ht="18">
      <c r="A142" s="70"/>
      <c r="B142" s="71"/>
      <c r="C142" s="96" t="s">
        <v>795</v>
      </c>
      <c r="D142" s="96" t="s">
        <v>796</v>
      </c>
      <c r="E142" s="96" t="s">
        <v>797</v>
      </c>
      <c r="F142" s="30" t="s">
        <v>789</v>
      </c>
      <c r="G142" s="30" t="s">
        <v>790</v>
      </c>
      <c r="H142" s="10" t="s">
        <v>785</v>
      </c>
      <c r="I142" s="9" t="s">
        <v>460</v>
      </c>
      <c r="J142" s="10">
        <f>VLOOKUP(F142,F:I,4,0)=I142</f>
      </c>
      <c r="K142" s="1"/>
      <c r="L142" s="1"/>
      <c r="M142" s="19">
        <f>CHAR(10)&amp;"'"&amp;F142&amp;"' =&gt; ("&amp;IF(I142="字符串","string)",IF(I142="数值","int)",IF(I142="布尔","bool)","int)time")))&amp;" _, //"&amp;G142&amp;", 如: "&amp;H142</f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x14ac:dyDescent="0.25" r="143" customHeight="1" ht="18">
      <c r="A143" s="70"/>
      <c r="B143" s="71"/>
      <c r="C143" s="9"/>
      <c r="D143" s="9"/>
      <c r="E143" s="9"/>
      <c r="F143" s="30" t="s">
        <v>791</v>
      </c>
      <c r="G143" s="30" t="s">
        <v>792</v>
      </c>
      <c r="H143" s="10" t="s">
        <v>724</v>
      </c>
      <c r="I143" s="9" t="s">
        <v>460</v>
      </c>
      <c r="J143" s="10">
        <f>VLOOKUP(F143,F:I,4,0)=I143</f>
      </c>
      <c r="K143" s="1"/>
      <c r="L143" s="1"/>
      <c r="M143" s="19">
        <f>CHAR(10)&amp;"'"&amp;F143&amp;"' =&gt; ("&amp;IF(I143="字符串","string)",IF(I143="数值","int)",IF(I143="布尔","bool)","int)time")))&amp;" _, //"&amp;G143&amp;", 如: "&amp;H143</f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x14ac:dyDescent="0.25" r="144" customHeight="1" ht="18">
      <c r="A144" s="70"/>
      <c r="B144" s="71"/>
      <c r="C144" s="9"/>
      <c r="D144" s="9"/>
      <c r="E144" s="9"/>
      <c r="F144" s="30" t="s">
        <v>793</v>
      </c>
      <c r="G144" s="30" t="s">
        <v>794</v>
      </c>
      <c r="H144" s="10">
        <v>6666</v>
      </c>
      <c r="I144" s="9" t="s">
        <v>481</v>
      </c>
      <c r="J144" s="10">
        <f>VLOOKUP(F144,F:I,4,0)=I144</f>
      </c>
      <c r="K144" s="1"/>
      <c r="L144" s="1"/>
      <c r="M144" s="19">
        <f>CHAR(10)&amp;"'"&amp;F144&amp;"' =&gt; ("&amp;IF(I144="字符串","string)",IF(I144="数值","int)",IF(I144="布尔","bool)","int)time")))&amp;" _, //"&amp;G144&amp;", 如: "&amp;H144</f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x14ac:dyDescent="0.25" r="145" customHeight="1" ht="18">
      <c r="A145" s="70"/>
      <c r="B145" s="71"/>
      <c r="C145" s="9"/>
      <c r="D145" s="9"/>
      <c r="E145" s="9"/>
      <c r="F145" s="9" t="s">
        <v>628</v>
      </c>
      <c r="G145" s="9" t="s">
        <v>629</v>
      </c>
      <c r="H145" s="10">
        <v>-1</v>
      </c>
      <c r="I145" s="9" t="s">
        <v>481</v>
      </c>
      <c r="J145" s="10">
        <f>VLOOKUP(F145,F:I,4,0)=I145</f>
      </c>
      <c r="K145" s="1"/>
      <c r="L145" s="1"/>
      <c r="M145" s="19">
        <f>CHAR(10)&amp;"'"&amp;F145&amp;"' =&gt; ("&amp;IF(I145="字符串","string)",IF(I145="数值","int)",IF(I145="布尔","bool)","int)time")))&amp;" _, //"&amp;G145&amp;", 如: "&amp;H145</f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x14ac:dyDescent="0.25" r="146" customHeight="1" ht="18">
      <c r="A146" s="70"/>
      <c r="B146" s="71"/>
      <c r="C146" s="9"/>
      <c r="D146" s="9"/>
      <c r="E146" s="9"/>
      <c r="F146" s="20" t="s">
        <v>632</v>
      </c>
      <c r="G146" s="20" t="s">
        <v>633</v>
      </c>
      <c r="H146" s="37">
        <v>0</v>
      </c>
      <c r="I146" s="20" t="s">
        <v>481</v>
      </c>
      <c r="J146" s="10">
        <f>VLOOKUP(F146,F:I,4,0)=I146</f>
      </c>
      <c r="K146" s="1"/>
      <c r="L146" s="1"/>
      <c r="M146" s="19">
        <f>CHAR(10)&amp;"'"&amp;F146&amp;"' =&gt; ("&amp;IF(I146="字符串","string)",IF(I146="数值","int)",IF(I146="布尔","bool)","int)time")))&amp;" _, //"&amp;G146&amp;", 如: "&amp;H146</f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x14ac:dyDescent="0.25" r="147" customHeight="1" ht="18">
      <c r="A147" s="70"/>
      <c r="B147" s="71"/>
      <c r="C147" s="9"/>
      <c r="D147" s="9"/>
      <c r="E147" s="9"/>
      <c r="F147" s="9" t="s">
        <v>634</v>
      </c>
      <c r="G147" s="9" t="s">
        <v>635</v>
      </c>
      <c r="H147" s="22" t="s">
        <v>735</v>
      </c>
      <c r="I147" s="9" t="s">
        <v>460</v>
      </c>
      <c r="J147" s="10">
        <f>VLOOKUP(F147,F:I,4,0)=I147</f>
      </c>
      <c r="K147" s="1"/>
      <c r="L147" s="1"/>
      <c r="M147" s="19">
        <f>CHAR(10)&amp;"'"&amp;F147&amp;"' =&gt; ("&amp;IF(I147="字符串","string)",IF(I147="数值","int)",IF(I147="布尔","bool)","int)time")))&amp;" _, //"&amp;G147&amp;", 如: "&amp;H147</f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x14ac:dyDescent="0.25" r="148" customHeight="1" ht="18">
      <c r="A148" s="97"/>
      <c r="B148" s="81"/>
      <c r="C148" s="9"/>
      <c r="D148" s="9"/>
      <c r="E148" s="9"/>
      <c r="F148" s="9" t="s">
        <v>736</v>
      </c>
      <c r="G148" s="9" t="s">
        <v>737</v>
      </c>
      <c r="H148" s="10" t="s">
        <v>738</v>
      </c>
      <c r="I148" s="9" t="s">
        <v>460</v>
      </c>
      <c r="J148" s="10">
        <f>VLOOKUP(F148,F:I,4,0)=I148</f>
      </c>
      <c r="K148" s="1"/>
      <c r="L148" s="1"/>
      <c r="M148" s="19">
        <f>CHAR(10)&amp;"'"&amp;F148&amp;"' =&gt; ("&amp;IF(I148="字符串","string)",IF(I148="数值","int)",IF(I148="布尔","bool)","int)time")))&amp;" _, //"&amp;G148&amp;", 如: "&amp;H148</f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x14ac:dyDescent="0.25" r="149" customHeight="1" ht="18">
      <c r="A149" s="96" t="s">
        <v>798</v>
      </c>
      <c r="B149" s="66" t="s">
        <v>799</v>
      </c>
      <c r="C149" s="34" t="s">
        <v>800</v>
      </c>
      <c r="D149" s="96" t="s">
        <v>801</v>
      </c>
      <c r="E149" s="96" t="s">
        <v>802</v>
      </c>
      <c r="F149" s="9" t="s">
        <v>803</v>
      </c>
      <c r="G149" s="30" t="s">
        <v>804</v>
      </c>
      <c r="H149" s="10" t="s">
        <v>805</v>
      </c>
      <c r="I149" s="9" t="s">
        <v>460</v>
      </c>
      <c r="J149" s="10">
        <f>VLOOKUP(F149,F:I,4,0)=I149</f>
      </c>
      <c r="K149" s="1"/>
      <c r="L149" s="1"/>
      <c r="M149" s="19">
        <f>CHAR(10)&amp;"'"&amp;F149&amp;"' =&gt; ("&amp;IF(I149="字符串","string)",IF(I149="数值","int)",IF(I149="布尔","bool)","int)time")))&amp;" _, //"&amp;G149&amp;", 如: "&amp;H149</f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x14ac:dyDescent="0.25" r="150" customHeight="1" ht="18">
      <c r="A150" s="35"/>
      <c r="B150" s="71"/>
      <c r="C150" s="35"/>
      <c r="D150" s="35"/>
      <c r="E150" s="35"/>
      <c r="F150" s="9" t="s">
        <v>509</v>
      </c>
      <c r="G150" s="30" t="s">
        <v>510</v>
      </c>
      <c r="H150" s="22" t="s">
        <v>806</v>
      </c>
      <c r="I150" s="9" t="s">
        <v>460</v>
      </c>
      <c r="J150" s="10">
        <f>VLOOKUP(F150,F:I,4,0)=I150</f>
      </c>
      <c r="K150" s="1"/>
      <c r="L150" s="1"/>
      <c r="M150" s="19">
        <f>CHAR(10)&amp;"'"&amp;F150&amp;"' =&gt; ("&amp;IF(I150="字符串","string)",IF(I150="数值","int)",IF(I150="布尔","bool)","int)time")))&amp;" _, //"&amp;G150&amp;", 如: "&amp;H150</f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x14ac:dyDescent="0.25" r="151" customHeight="1" ht="18">
      <c r="A151" s="35"/>
      <c r="B151" s="71"/>
      <c r="C151" s="35"/>
      <c r="D151" s="35"/>
      <c r="E151" s="35"/>
      <c r="F151" s="9" t="s">
        <v>807</v>
      </c>
      <c r="G151" s="30" t="s">
        <v>808</v>
      </c>
      <c r="H151" s="22" t="s">
        <v>809</v>
      </c>
      <c r="I151" s="9" t="s">
        <v>460</v>
      </c>
      <c r="J151" s="10">
        <f>VLOOKUP(F151,F:I,4,0)=I151</f>
      </c>
      <c r="K151" s="1"/>
      <c r="L151" s="1"/>
      <c r="M151" s="19">
        <f>CHAR(10)&amp;"'"&amp;F151&amp;"' =&gt; ("&amp;IF(I151="字符串","string)",IF(I151="数值","int)",IF(I151="布尔","bool)","int)time")))&amp;" _, //"&amp;G151&amp;", 如: "&amp;H151</f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x14ac:dyDescent="0.25" r="152" customHeight="1" ht="18">
      <c r="A152" s="35"/>
      <c r="B152" s="71"/>
      <c r="C152" s="35"/>
      <c r="D152" s="35"/>
      <c r="E152" s="35"/>
      <c r="F152" s="9" t="s">
        <v>628</v>
      </c>
      <c r="G152" s="9" t="s">
        <v>629</v>
      </c>
      <c r="H152" s="10">
        <v>-1</v>
      </c>
      <c r="I152" s="9" t="s">
        <v>481</v>
      </c>
      <c r="J152" s="10">
        <f>VLOOKUP(F152,F:I,4,0)=I152</f>
      </c>
      <c r="K152" s="1"/>
      <c r="L152" s="1"/>
      <c r="M152" s="19">
        <f>CHAR(10)&amp;"'"&amp;F152&amp;"' =&gt; ("&amp;IF(I152="字符串","string)",IF(I152="数值","int)",IF(I152="布尔","bool)","int)time")))&amp;" _, //"&amp;G152&amp;", 如: "&amp;H152</f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x14ac:dyDescent="0.25" r="153" customHeight="1" ht="18">
      <c r="A153" s="35"/>
      <c r="B153" s="71"/>
      <c r="C153" s="35"/>
      <c r="D153" s="35"/>
      <c r="E153" s="35"/>
      <c r="F153" s="9" t="s">
        <v>632</v>
      </c>
      <c r="G153" s="9" t="s">
        <v>633</v>
      </c>
      <c r="H153" s="10">
        <v>0</v>
      </c>
      <c r="I153" s="9" t="s">
        <v>481</v>
      </c>
      <c r="J153" s="10">
        <f>VLOOKUP(F153,F:I,4,0)=I153</f>
      </c>
      <c r="K153" s="1"/>
      <c r="L153" s="1"/>
      <c r="M153" s="19">
        <f>CHAR(10)&amp;"'"&amp;F153&amp;"' =&gt; ("&amp;IF(I153="字符串","string)",IF(I153="数值","int)",IF(I153="布尔","bool)","int)time")))&amp;" _, //"&amp;G153&amp;", 如: "&amp;H153</f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x14ac:dyDescent="0.25" r="154" customHeight="1" ht="18">
      <c r="A154" s="35"/>
      <c r="B154" s="71"/>
      <c r="C154" s="96" t="s">
        <v>810</v>
      </c>
      <c r="D154" s="96" t="s">
        <v>811</v>
      </c>
      <c r="E154" s="96" t="s">
        <v>812</v>
      </c>
      <c r="F154" s="9" t="s">
        <v>807</v>
      </c>
      <c r="G154" s="30" t="s">
        <v>808</v>
      </c>
      <c r="H154" s="22" t="s">
        <v>809</v>
      </c>
      <c r="I154" s="9" t="s">
        <v>460</v>
      </c>
      <c r="J154" s="10">
        <f>VLOOKUP(F154,F:I,4,0)=I154</f>
      </c>
      <c r="K154" s="1"/>
      <c r="L154" s="1"/>
      <c r="M154" s="19">
        <f>CHAR(10)&amp;"'"&amp;F154&amp;"' =&gt; ("&amp;IF(I154="字符串","string)",IF(I154="数值","int)",IF(I154="布尔","bool)","int)time")))&amp;" _, //"&amp;G154&amp;", 如: "&amp;H154</f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x14ac:dyDescent="0.25" r="155" customHeight="1" ht="18">
      <c r="A155" s="35"/>
      <c r="B155" s="71"/>
      <c r="C155" s="35"/>
      <c r="D155" s="35"/>
      <c r="E155" s="35"/>
      <c r="F155" s="9" t="s">
        <v>813</v>
      </c>
      <c r="G155" s="9" t="s">
        <v>814</v>
      </c>
      <c r="H155" s="10" t="s">
        <v>815</v>
      </c>
      <c r="I155" s="9" t="s">
        <v>460</v>
      </c>
      <c r="J155" s="10">
        <f>VLOOKUP(F155,F:I,4,0)=I155</f>
      </c>
      <c r="K155" s="1"/>
      <c r="L155" s="1"/>
      <c r="M155" s="19">
        <f>CHAR(10)&amp;"'"&amp;F155&amp;"' =&gt; ("&amp;IF(I155="字符串","string)",IF(I155="数值","int)",IF(I155="布尔","bool)","int)time")))&amp;" _, //"&amp;G155&amp;", 如: "&amp;H155</f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x14ac:dyDescent="0.25" r="156" customHeight="1" ht="18">
      <c r="A156" s="35"/>
      <c r="B156" s="81"/>
      <c r="C156" s="35"/>
      <c r="D156" s="35"/>
      <c r="E156" s="35"/>
      <c r="F156" s="9" t="s">
        <v>634</v>
      </c>
      <c r="G156" s="9" t="s">
        <v>635</v>
      </c>
      <c r="H156" s="10" t="s">
        <v>816</v>
      </c>
      <c r="I156" s="9" t="s">
        <v>460</v>
      </c>
      <c r="J156" s="10">
        <f>VLOOKUP(F156,F:I,4,0)=I156</f>
      </c>
      <c r="K156" s="1"/>
      <c r="L156" s="1"/>
      <c r="M156" s="19">
        <f>CHAR(10)&amp;"'"&amp;F156&amp;"' =&gt; ("&amp;IF(I156="字符串","string)",IF(I156="数值","int)",IF(I156="布尔","bool)","int)time")))&amp;" _, //"&amp;G156&amp;", 如: "&amp;H156</f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x14ac:dyDescent="0.25" r="157" customHeight="1" ht="18">
      <c r="A157" s="34" t="s">
        <v>74</v>
      </c>
      <c r="B157" s="66" t="s">
        <v>817</v>
      </c>
      <c r="C157" s="96" t="s">
        <v>818</v>
      </c>
      <c r="D157" s="96" t="s">
        <v>819</v>
      </c>
      <c r="E157" s="96" t="s">
        <v>820</v>
      </c>
      <c r="F157" s="9" t="s">
        <v>821</v>
      </c>
      <c r="G157" s="30" t="s">
        <v>822</v>
      </c>
      <c r="H157" s="10" t="s">
        <v>823</v>
      </c>
      <c r="I157" s="9" t="s">
        <v>460</v>
      </c>
      <c r="J157" s="10">
        <f>VLOOKUP(F157,F:I,4,0)=I157</f>
      </c>
      <c r="K157" s="1"/>
      <c r="L157" s="1"/>
      <c r="M157" s="19">
        <f>CHAR(10)&amp;"'"&amp;F157&amp;"' =&gt; ("&amp;IF(I157="字符串","string)",IF(I157="数值","int)",IF(I157="布尔","bool)","int)time")))&amp;" _, //"&amp;G157&amp;", 如: "&amp;H157</f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x14ac:dyDescent="0.25" r="158" customHeight="1" ht="18">
      <c r="A158" s="35"/>
      <c r="B158" s="71"/>
      <c r="C158" s="35"/>
      <c r="D158" s="35"/>
      <c r="E158" s="35"/>
      <c r="F158" s="9" t="s">
        <v>628</v>
      </c>
      <c r="G158" s="9" t="s">
        <v>629</v>
      </c>
      <c r="H158" s="10">
        <v>1</v>
      </c>
      <c r="I158" s="9" t="s">
        <v>481</v>
      </c>
      <c r="J158" s="10">
        <f>VLOOKUP(F158,F:I,4,0)=I158</f>
      </c>
      <c r="K158" s="1"/>
      <c r="L158" s="1"/>
      <c r="M158" s="19">
        <f>CHAR(10)&amp;"'"&amp;F158&amp;"' =&gt; ("&amp;IF(I158="字符串","string)",IF(I158="数值","int)",IF(I158="布尔","bool)","int)time")))&amp;" _, //"&amp;G158&amp;", 如: "&amp;H158</f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x14ac:dyDescent="0.25" r="159" customHeight="1" ht="18">
      <c r="A159" s="35"/>
      <c r="B159" s="71"/>
      <c r="C159" s="35"/>
      <c r="D159" s="35"/>
      <c r="E159" s="35"/>
      <c r="F159" s="9" t="s">
        <v>632</v>
      </c>
      <c r="G159" s="9" t="s">
        <v>633</v>
      </c>
      <c r="H159" s="10">
        <v>1</v>
      </c>
      <c r="I159" s="9" t="s">
        <v>481</v>
      </c>
      <c r="J159" s="10">
        <f>VLOOKUP(F159,F:I,4,0)=I159</f>
      </c>
      <c r="K159" s="1"/>
      <c r="L159" s="1"/>
      <c r="M159" s="19">
        <f>CHAR(10)&amp;"'"&amp;F159&amp;"' =&gt; ("&amp;IF(I159="字符串","string)",IF(I159="数值","int)",IF(I159="布尔","bool)","int)time")))&amp;" _, //"&amp;G159&amp;", 如: "&amp;H159</f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x14ac:dyDescent="0.25" r="160" customHeight="1" ht="18">
      <c r="A160" s="35"/>
      <c r="B160" s="81"/>
      <c r="C160" s="35"/>
      <c r="D160" s="35"/>
      <c r="E160" s="35"/>
      <c r="F160" s="9" t="s">
        <v>634</v>
      </c>
      <c r="G160" s="9" t="s">
        <v>635</v>
      </c>
      <c r="H160" s="22" t="s">
        <v>824</v>
      </c>
      <c r="I160" s="9" t="s">
        <v>460</v>
      </c>
      <c r="J160" s="10">
        <f>VLOOKUP(F160,F:I,4,0)=I160</f>
      </c>
      <c r="K160" s="1"/>
      <c r="L160" s="1"/>
      <c r="M160" s="19">
        <f>CHAR(10)&amp;"'"&amp;F160&amp;"' =&gt; ("&amp;IF(I160="字符串","string)",IF(I160="数值","int)",IF(I160="布尔","bool)","int)time")))&amp;" _, //"&amp;G160&amp;", 如: "&amp;H160</f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x14ac:dyDescent="0.25" r="161" customHeight="1" ht="18">
      <c r="A161" s="65" t="s">
        <v>825</v>
      </c>
      <c r="B161" s="66" t="s">
        <v>826</v>
      </c>
      <c r="C161" s="96" t="s">
        <v>827</v>
      </c>
      <c r="D161" s="34" t="s">
        <v>828</v>
      </c>
      <c r="E161" s="34" t="s">
        <v>829</v>
      </c>
      <c r="F161" s="9" t="s">
        <v>830</v>
      </c>
      <c r="G161" s="9" t="s">
        <v>831</v>
      </c>
      <c r="H161" s="10" t="s">
        <v>832</v>
      </c>
      <c r="I161" s="9" t="s">
        <v>460</v>
      </c>
      <c r="J161" s="10">
        <f>VLOOKUP(F161,F:I,4,0)=I161</f>
      </c>
      <c r="K161" s="1"/>
      <c r="L161" s="1"/>
      <c r="M161" s="19">
        <f>CHAR(10)&amp;"'"&amp;F161&amp;"' =&gt; ("&amp;IF(I161="字符串","string)",IF(I161="数值","int)",IF(I161="布尔","bool)","int)time")))&amp;" _, //"&amp;G161&amp;", 如: "&amp;H161</f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x14ac:dyDescent="0.25" r="162" customHeight="1" ht="18">
      <c r="A162" s="70"/>
      <c r="B162" s="71"/>
      <c r="C162" s="35"/>
      <c r="D162" s="35"/>
      <c r="E162" s="35"/>
      <c r="F162" s="9" t="s">
        <v>833</v>
      </c>
      <c r="G162" s="9" t="s">
        <v>834</v>
      </c>
      <c r="H162" s="10" t="s">
        <v>835</v>
      </c>
      <c r="I162" s="9" t="s">
        <v>460</v>
      </c>
      <c r="J162" s="10">
        <f>VLOOKUP(F162,F:I,4,0)=I162</f>
      </c>
      <c r="K162" s="1"/>
      <c r="L162" s="1"/>
      <c r="M162" s="19">
        <f>CHAR(10)&amp;"'"&amp;F162&amp;"' =&gt; ("&amp;IF(I162="字符串","string)",IF(I162="数值","int)",IF(I162="布尔","bool)","int)time")))&amp;" _, //"&amp;G162&amp;", 如: "&amp;H162</f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x14ac:dyDescent="0.25" r="163" customHeight="1" ht="18">
      <c r="A163" s="70"/>
      <c r="B163" s="71"/>
      <c r="C163" s="35"/>
      <c r="D163" s="35"/>
      <c r="E163" s="35"/>
      <c r="F163" s="9" t="s">
        <v>836</v>
      </c>
      <c r="G163" s="9" t="s">
        <v>837</v>
      </c>
      <c r="H163" s="10" t="s">
        <v>838</v>
      </c>
      <c r="I163" s="9" t="s">
        <v>460</v>
      </c>
      <c r="J163" s="10">
        <f>VLOOKUP(F163,F:I,4,0)=I163</f>
      </c>
      <c r="K163" s="1"/>
      <c r="L163" s="1"/>
      <c r="M163" s="19">
        <f>CHAR(10)&amp;"'"&amp;F163&amp;"' =&gt; ("&amp;IF(I163="字符串","string)",IF(I163="数值","int)",IF(I163="布尔","bool)","int)time")))&amp;" _, //"&amp;G163&amp;", 如: "&amp;H163</f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x14ac:dyDescent="0.25" r="164" customHeight="1" ht="18">
      <c r="A164" s="70"/>
      <c r="B164" s="71"/>
      <c r="C164" s="35"/>
      <c r="D164" s="35"/>
      <c r="E164" s="35"/>
      <c r="F164" s="9" t="s">
        <v>839</v>
      </c>
      <c r="G164" s="9" t="s">
        <v>840</v>
      </c>
      <c r="H164" s="10" t="s">
        <v>841</v>
      </c>
      <c r="I164" s="9" t="s">
        <v>460</v>
      </c>
      <c r="J164" s="10">
        <f>VLOOKUP(F164,F:I,4,0)=I164</f>
      </c>
      <c r="K164" s="1"/>
      <c r="L164" s="1"/>
      <c r="M164" s="19">
        <f>CHAR(10)&amp;"'"&amp;F164&amp;"' =&gt; ("&amp;IF(I164="字符串","string)",IF(I164="数值","int)",IF(I164="布尔","bool)","int)time")))&amp;" _, //"&amp;G164&amp;", 如: "&amp;H164</f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x14ac:dyDescent="0.25" r="165" customHeight="1" ht="18">
      <c r="A165" s="70"/>
      <c r="B165" s="71"/>
      <c r="C165" s="35"/>
      <c r="D165" s="35"/>
      <c r="E165" s="35"/>
      <c r="F165" s="9" t="s">
        <v>842</v>
      </c>
      <c r="G165" s="9" t="s">
        <v>843</v>
      </c>
      <c r="H165" s="10" t="s">
        <v>844</v>
      </c>
      <c r="I165" s="9" t="s">
        <v>571</v>
      </c>
      <c r="J165" s="10">
        <f>VLOOKUP(F165,F:I,4,0)=I165</f>
      </c>
      <c r="K165" s="1"/>
      <c r="L165" s="1"/>
      <c r="M165" s="19">
        <f>CHAR(10)&amp;"'"&amp;F165&amp;"' =&gt; ("&amp;IF(I165="字符串","string)",IF(I165="数值","int)",IF(I165="布尔","bool)","int)time")))&amp;" _, //"&amp;G165&amp;", 如: "&amp;H165</f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x14ac:dyDescent="0.25" r="166" customHeight="1" ht="18">
      <c r="A166" s="70"/>
      <c r="B166" s="71"/>
      <c r="C166" s="35"/>
      <c r="D166" s="35"/>
      <c r="E166" s="35"/>
      <c r="F166" s="9" t="s">
        <v>701</v>
      </c>
      <c r="G166" s="9" t="s">
        <v>702</v>
      </c>
      <c r="H166" s="10" t="s">
        <v>703</v>
      </c>
      <c r="I166" s="9" t="s">
        <v>704</v>
      </c>
      <c r="J166" s="10">
        <f>VLOOKUP(F166,F:I,4,0)=I166</f>
      </c>
      <c r="K166" s="1"/>
      <c r="L166" s="1"/>
      <c r="M166" s="19">
        <f>CHAR(10)&amp;"'"&amp;F166&amp;"' =&gt; ("&amp;IF(I166="字符串","string)",IF(I166="数值","int)",IF(I166="布尔","bool)","int)time")))&amp;" _, //"&amp;G166&amp;", 如: "&amp;H166</f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x14ac:dyDescent="0.25" r="167" customHeight="1" ht="18">
      <c r="A167" s="70"/>
      <c r="B167" s="71"/>
      <c r="C167" s="34" t="s">
        <v>845</v>
      </c>
      <c r="D167" s="96" t="s">
        <v>846</v>
      </c>
      <c r="E167" s="34" t="s">
        <v>847</v>
      </c>
      <c r="F167" s="9" t="s">
        <v>830</v>
      </c>
      <c r="G167" s="9" t="s">
        <v>831</v>
      </c>
      <c r="H167" s="10" t="s">
        <v>832</v>
      </c>
      <c r="I167" s="9" t="s">
        <v>460</v>
      </c>
      <c r="J167" s="10">
        <f>VLOOKUP(F167,F:I,4,0)=I167</f>
      </c>
      <c r="K167" s="1"/>
      <c r="L167" s="1"/>
      <c r="M167" s="19">
        <f>CHAR(10)&amp;"'"&amp;F167&amp;"' =&gt; ("&amp;IF(I167="字符串","string)",IF(I167="数值","int)",IF(I167="布尔","bool)","int)time")))&amp;" _, //"&amp;G167&amp;", 如: "&amp;H167</f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x14ac:dyDescent="0.25" r="168" customHeight="1" ht="18">
      <c r="A168" s="70"/>
      <c r="B168" s="71"/>
      <c r="C168" s="35"/>
      <c r="D168" s="35"/>
      <c r="E168" s="35"/>
      <c r="F168" s="9" t="s">
        <v>833</v>
      </c>
      <c r="G168" s="9" t="s">
        <v>834</v>
      </c>
      <c r="H168" s="10" t="s">
        <v>835</v>
      </c>
      <c r="I168" s="9" t="s">
        <v>460</v>
      </c>
      <c r="J168" s="10">
        <f>VLOOKUP(F168,F:I,4,0)=I168</f>
      </c>
      <c r="K168" s="1"/>
      <c r="L168" s="1"/>
      <c r="M168" s="19">
        <f>CHAR(10)&amp;"'"&amp;F168&amp;"' =&gt; ("&amp;IF(I168="字符串","string)",IF(I168="数值","int)",IF(I168="布尔","bool)","int)time")))&amp;" _, //"&amp;G168&amp;", 如: "&amp;H168</f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x14ac:dyDescent="0.25" r="169" customHeight="1" ht="18">
      <c r="A169" s="70"/>
      <c r="B169" s="71"/>
      <c r="C169" s="35"/>
      <c r="D169" s="35"/>
      <c r="E169" s="35"/>
      <c r="F169" s="9" t="s">
        <v>836</v>
      </c>
      <c r="G169" s="9" t="s">
        <v>837</v>
      </c>
      <c r="H169" s="10" t="s">
        <v>838</v>
      </c>
      <c r="I169" s="9" t="s">
        <v>460</v>
      </c>
      <c r="J169" s="10">
        <f>VLOOKUP(F169,F:I,4,0)=I169</f>
      </c>
      <c r="K169" s="1"/>
      <c r="L169" s="1"/>
      <c r="M169" s="19">
        <f>CHAR(10)&amp;"'"&amp;F169&amp;"' =&gt; ("&amp;IF(I169="字符串","string)",IF(I169="数值","int)",IF(I169="布尔","bool)","int)time")))&amp;" _, //"&amp;G169&amp;", 如: "&amp;H169</f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x14ac:dyDescent="0.25" r="170" customHeight="1" ht="18">
      <c r="A170" s="70"/>
      <c r="B170" s="71"/>
      <c r="C170" s="35"/>
      <c r="D170" s="35"/>
      <c r="E170" s="35"/>
      <c r="F170" s="9" t="s">
        <v>839</v>
      </c>
      <c r="G170" s="9" t="s">
        <v>840</v>
      </c>
      <c r="H170" s="10" t="s">
        <v>848</v>
      </c>
      <c r="I170" s="9" t="s">
        <v>460</v>
      </c>
      <c r="J170" s="10">
        <f>VLOOKUP(F170,F:I,4,0)=I170</f>
      </c>
      <c r="K170" s="1"/>
      <c r="L170" s="1"/>
      <c r="M170" s="19">
        <f>CHAR(10)&amp;"'"&amp;F170&amp;"' =&gt; ("&amp;IF(I170="字符串","string)",IF(I170="数值","int)",IF(I170="布尔","bool)","int)time")))&amp;" _, //"&amp;G170&amp;", 如: "&amp;H170</f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x14ac:dyDescent="0.25" r="171" customHeight="1" ht="18">
      <c r="A171" s="70"/>
      <c r="B171" s="71"/>
      <c r="C171" s="96" t="s">
        <v>849</v>
      </c>
      <c r="D171" s="96" t="s">
        <v>850</v>
      </c>
      <c r="E171" s="34" t="s">
        <v>851</v>
      </c>
      <c r="F171" s="9" t="s">
        <v>852</v>
      </c>
      <c r="G171" s="9" t="s">
        <v>853</v>
      </c>
      <c r="H171" s="10" t="s">
        <v>816</v>
      </c>
      <c r="I171" s="9" t="s">
        <v>460</v>
      </c>
      <c r="J171" s="10">
        <f>VLOOKUP(F171,F:I,4,0)=I171</f>
      </c>
      <c r="K171" s="1"/>
      <c r="L171" s="1"/>
      <c r="M171" s="19">
        <f>CHAR(10)&amp;"'"&amp;F171&amp;"' =&gt; ("&amp;IF(I171="字符串","string)",IF(I171="数值","int)",IF(I171="布尔","bool)","int)time")))&amp;" _, //"&amp;G171&amp;", 如: "&amp;H171</f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x14ac:dyDescent="0.25" r="172" customHeight="1" ht="18">
      <c r="A172" s="70"/>
      <c r="B172" s="71"/>
      <c r="C172" s="35"/>
      <c r="D172" s="35"/>
      <c r="E172" s="35"/>
      <c r="F172" s="9" t="s">
        <v>854</v>
      </c>
      <c r="G172" s="9" t="s">
        <v>855</v>
      </c>
      <c r="H172" s="10" t="s">
        <v>856</v>
      </c>
      <c r="I172" s="9" t="s">
        <v>704</v>
      </c>
      <c r="J172" s="10">
        <f>VLOOKUP(F172,F:I,4,0)=I172</f>
      </c>
      <c r="K172" s="1"/>
      <c r="L172" s="1"/>
      <c r="M172" s="19">
        <f>CHAR(10)&amp;"'"&amp;F172&amp;"' =&gt; ("&amp;IF(I172="字符串","string)",IF(I172="数值","int)",IF(I172="布尔","bool)","int)time")))&amp;" _, //"&amp;G172&amp;", 如: "&amp;H172</f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x14ac:dyDescent="0.25" r="173" customHeight="1" ht="18">
      <c r="A173" s="70"/>
      <c r="B173" s="71"/>
      <c r="C173" s="34" t="s">
        <v>857</v>
      </c>
      <c r="D173" s="34" t="s">
        <v>858</v>
      </c>
      <c r="E173" s="34" t="s">
        <v>859</v>
      </c>
      <c r="F173" s="30" t="s">
        <v>860</v>
      </c>
      <c r="G173" s="9" t="s">
        <v>861</v>
      </c>
      <c r="H173" s="10" t="s">
        <v>862</v>
      </c>
      <c r="I173" s="9" t="s">
        <v>460</v>
      </c>
      <c r="J173" s="10">
        <f>VLOOKUP(F173,F:I,4,0)=I173</f>
      </c>
      <c r="K173" s="1"/>
      <c r="L173" s="1"/>
      <c r="M173" s="19">
        <f>CHAR(10)&amp;"'"&amp;F173&amp;"' =&gt; ("&amp;IF(I173="字符串","string)",IF(I173="数值","int)",IF(I173="布尔","bool)","int)time")))&amp;" _, //"&amp;G173&amp;", 如: "&amp;H173</f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x14ac:dyDescent="0.25" r="174" customHeight="1" ht="18">
      <c r="A174" s="70"/>
      <c r="B174" s="71"/>
      <c r="C174" s="35"/>
      <c r="D174" s="35"/>
      <c r="E174" s="35"/>
      <c r="F174" s="30" t="s">
        <v>863</v>
      </c>
      <c r="G174" s="30" t="s">
        <v>864</v>
      </c>
      <c r="H174" s="10">
        <v>123</v>
      </c>
      <c r="I174" s="108" t="s">
        <v>460</v>
      </c>
      <c r="J174" s="10">
        <f>VLOOKUP(F174,F:I,4,0)=I174</f>
      </c>
      <c r="K174" s="1"/>
      <c r="L174" s="1"/>
      <c r="M174" s="6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x14ac:dyDescent="0.25" r="175" customHeight="1" ht="18">
      <c r="A175" s="70"/>
      <c r="B175" s="71"/>
      <c r="C175" s="35"/>
      <c r="D175" s="35"/>
      <c r="E175" s="35"/>
      <c r="F175" s="9" t="s">
        <v>865</v>
      </c>
      <c r="G175" s="9" t="s">
        <v>866</v>
      </c>
      <c r="H175" s="10">
        <v>10002</v>
      </c>
      <c r="I175" s="9" t="s">
        <v>460</v>
      </c>
      <c r="J175" s="10">
        <f>VLOOKUP(F175,F:I,4,0)=I175</f>
      </c>
      <c r="K175" s="1"/>
      <c r="L175" s="1"/>
      <c r="M175" s="19">
        <f>CHAR(10)&amp;"'"&amp;F175&amp;"' =&gt; ("&amp;IF(I175="字符串","string)",IF(I175="数值","int)",IF(I175="布尔","bool)","int)time")))&amp;" _, //"&amp;G175&amp;", 如: "&amp;H175</f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x14ac:dyDescent="0.25" r="176" customHeight="1" ht="18">
      <c r="A176" s="70"/>
      <c r="B176" s="71"/>
      <c r="C176" s="35"/>
      <c r="D176" s="35"/>
      <c r="E176" s="35"/>
      <c r="F176" s="9" t="s">
        <v>867</v>
      </c>
      <c r="G176" s="9" t="s">
        <v>868</v>
      </c>
      <c r="H176" s="10" t="s">
        <v>869</v>
      </c>
      <c r="I176" s="9" t="s">
        <v>460</v>
      </c>
      <c r="J176" s="10">
        <f>VLOOKUP(F176,F:I,4,0)=I176</f>
      </c>
      <c r="K176" s="1"/>
      <c r="L176" s="1"/>
      <c r="M176" s="19">
        <f>CHAR(10)&amp;"'"&amp;F176&amp;"' =&gt; ("&amp;IF(I176="字符串","string)",IF(I176="数值","int)",IF(I176="布尔","bool)","int)time")))&amp;" _, //"&amp;G176&amp;", 如: "&amp;H176</f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x14ac:dyDescent="0.25" r="177" customHeight="1" ht="18">
      <c r="A177" s="70"/>
      <c r="B177" s="71"/>
      <c r="C177" s="35"/>
      <c r="D177" s="35"/>
      <c r="E177" s="35"/>
      <c r="F177" s="9" t="s">
        <v>870</v>
      </c>
      <c r="G177" s="9" t="s">
        <v>871</v>
      </c>
      <c r="H177" s="10">
        <v>1000</v>
      </c>
      <c r="I177" s="9" t="s">
        <v>481</v>
      </c>
      <c r="J177" s="10">
        <f>VLOOKUP(F177,F:I,4,0)=I177</f>
      </c>
      <c r="K177" s="1"/>
      <c r="L177" s="1"/>
      <c r="M177" s="19">
        <f>CHAR(10)&amp;"'"&amp;F177&amp;"' =&gt; ("&amp;IF(I177="字符串","string)",IF(I177="数值","int)",IF(I177="布尔","bool)","int)time")))&amp;" _, //"&amp;G177&amp;", 如: "&amp;H177</f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x14ac:dyDescent="0.25" r="178" customHeight="1" ht="18">
      <c r="A178" s="70"/>
      <c r="B178" s="71"/>
      <c r="C178" s="35"/>
      <c r="D178" s="35"/>
      <c r="E178" s="35"/>
      <c r="F178" s="9" t="s">
        <v>872</v>
      </c>
      <c r="G178" s="9" t="s">
        <v>873</v>
      </c>
      <c r="H178" s="10" t="s">
        <v>874</v>
      </c>
      <c r="I178" s="9" t="s">
        <v>460</v>
      </c>
      <c r="J178" s="10">
        <f>VLOOKUP(F178,F:I,4,0)=I178</f>
      </c>
      <c r="K178" s="1"/>
      <c r="L178" s="1"/>
      <c r="M178" s="19">
        <f>CHAR(10)&amp;"'"&amp;F178&amp;"' =&gt; ("&amp;IF(I178="字符串","string)",IF(I178="数值","int)",IF(I178="布尔","bool)","int)time")))&amp;" _, //"&amp;G178&amp;", 如: "&amp;H178</f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x14ac:dyDescent="0.25" r="179" customHeight="1" ht="18">
      <c r="A179" s="70"/>
      <c r="B179" s="71"/>
      <c r="C179" s="35"/>
      <c r="D179" s="35"/>
      <c r="E179" s="35"/>
      <c r="F179" s="9" t="s">
        <v>836</v>
      </c>
      <c r="G179" s="9" t="s">
        <v>837</v>
      </c>
      <c r="H179" s="10" t="s">
        <v>875</v>
      </c>
      <c r="I179" s="9" t="s">
        <v>460</v>
      </c>
      <c r="J179" s="10">
        <f>VLOOKUP(F179,F:I,4,0)=I179</f>
      </c>
      <c r="K179" s="1"/>
      <c r="L179" s="1"/>
      <c r="M179" s="19">
        <f>CHAR(10)&amp;"'"&amp;F179&amp;"' =&gt; ("&amp;IF(I179="字符串","string)",IF(I179="数值","int)",IF(I179="布尔","bool)","int)time")))&amp;" _, //"&amp;G179&amp;", 如: "&amp;H179</f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x14ac:dyDescent="0.25" r="180" customHeight="1" ht="18">
      <c r="A180" s="70"/>
      <c r="B180" s="71"/>
      <c r="C180" s="34" t="s">
        <v>876</v>
      </c>
      <c r="D180" s="34" t="s">
        <v>877</v>
      </c>
      <c r="E180" s="34" t="s">
        <v>878</v>
      </c>
      <c r="F180" s="9" t="s">
        <v>879</v>
      </c>
      <c r="G180" s="9" t="s">
        <v>880</v>
      </c>
      <c r="H180" s="10">
        <v>10002</v>
      </c>
      <c r="I180" s="9" t="s">
        <v>460</v>
      </c>
      <c r="J180" s="10">
        <f>VLOOKUP(F180,F:I,4,0)=I180</f>
      </c>
      <c r="K180" s="1"/>
      <c r="L180" s="1"/>
      <c r="M180" s="19">
        <f>CHAR(10)&amp;"'"&amp;F180&amp;"' =&gt; ("&amp;IF(I180="字符串","string)",IF(I180="数值","int)",IF(I180="布尔","bool)","int)time")))&amp;" _, //"&amp;G180&amp;", 如: "&amp;H180</f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x14ac:dyDescent="0.25" r="181" customHeight="1" ht="18">
      <c r="A181" s="70"/>
      <c r="B181" s="71"/>
      <c r="C181" s="35"/>
      <c r="D181" s="35"/>
      <c r="E181" s="35"/>
      <c r="F181" s="9" t="s">
        <v>881</v>
      </c>
      <c r="G181" s="9" t="s">
        <v>882</v>
      </c>
      <c r="H181" s="10" t="s">
        <v>869</v>
      </c>
      <c r="I181" s="9" t="s">
        <v>460</v>
      </c>
      <c r="J181" s="10">
        <f>VLOOKUP(F181,F:I,4,0)=I181</f>
      </c>
      <c r="K181" s="1"/>
      <c r="L181" s="1"/>
      <c r="M181" s="19">
        <f>CHAR(10)&amp;"'"&amp;F181&amp;"' =&gt; ("&amp;IF(I181="字符串","string)",IF(I181="数值","int)",IF(I181="布尔","bool)","int)time")))&amp;" _, //"&amp;G181&amp;", 如: "&amp;H181</f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x14ac:dyDescent="0.25" r="182" customHeight="1" ht="18">
      <c r="A182" s="70"/>
      <c r="B182" s="71"/>
      <c r="C182" s="35"/>
      <c r="D182" s="35"/>
      <c r="E182" s="35"/>
      <c r="F182" s="9" t="s">
        <v>883</v>
      </c>
      <c r="G182" s="9" t="s">
        <v>884</v>
      </c>
      <c r="H182" s="10">
        <v>1000</v>
      </c>
      <c r="I182" s="9" t="s">
        <v>481</v>
      </c>
      <c r="J182" s="10">
        <f>VLOOKUP(F182,F:I,4,0)=I182</f>
      </c>
      <c r="K182" s="1"/>
      <c r="L182" s="1"/>
      <c r="M182" s="19">
        <f>CHAR(10)&amp;"'"&amp;F182&amp;"' =&gt; ("&amp;IF(I182="字符串","string)",IF(I182="数值","int)",IF(I182="布尔","bool)","int)time")))&amp;" _, //"&amp;G182&amp;", 如: "&amp;H182</f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x14ac:dyDescent="0.25" r="183" customHeight="1" ht="18">
      <c r="A183" s="70"/>
      <c r="B183" s="71"/>
      <c r="C183" s="35"/>
      <c r="D183" s="35"/>
      <c r="E183" s="35"/>
      <c r="F183" s="9" t="s">
        <v>860</v>
      </c>
      <c r="G183" s="30" t="s">
        <v>861</v>
      </c>
      <c r="H183" s="10" t="s">
        <v>885</v>
      </c>
      <c r="I183" s="9" t="s">
        <v>460</v>
      </c>
      <c r="J183" s="10">
        <f>VLOOKUP(F183,F:I,4,0)=I183</f>
      </c>
      <c r="K183" s="1"/>
      <c r="L183" s="1"/>
      <c r="M183" s="19">
        <f>CHAR(10)&amp;"'"&amp;F183&amp;"' =&gt; ("&amp;IF(I183="字符串","string)",IF(I183="数值","int)",IF(I183="布尔","bool)","int)time")))&amp;" _, //"&amp;G183&amp;", 如: "&amp;H183</f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x14ac:dyDescent="0.25" r="184" customHeight="1" ht="18">
      <c r="A184" s="70"/>
      <c r="B184" s="71"/>
      <c r="C184" s="35"/>
      <c r="D184" s="35"/>
      <c r="E184" s="35"/>
      <c r="F184" s="30" t="s">
        <v>863</v>
      </c>
      <c r="G184" s="30" t="s">
        <v>864</v>
      </c>
      <c r="H184" s="10">
        <v>123</v>
      </c>
      <c r="I184" s="108" t="s">
        <v>460</v>
      </c>
      <c r="J184" s="10">
        <f>VLOOKUP(F184,F:I,4,0)=I184</f>
      </c>
      <c r="K184" s="1"/>
      <c r="L184" s="1"/>
      <c r="M184" s="6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x14ac:dyDescent="0.25" r="185" customHeight="1" ht="18">
      <c r="A185" s="70"/>
      <c r="B185" s="71"/>
      <c r="C185" s="35"/>
      <c r="D185" s="35"/>
      <c r="E185" s="35"/>
      <c r="F185" s="9" t="s">
        <v>872</v>
      </c>
      <c r="G185" s="9" t="s">
        <v>873</v>
      </c>
      <c r="H185" s="10" t="s">
        <v>874</v>
      </c>
      <c r="I185" s="9" t="s">
        <v>460</v>
      </c>
      <c r="J185" s="10">
        <f>VLOOKUP(F185,F:I,4,0)=I185</f>
      </c>
      <c r="K185" s="1"/>
      <c r="L185" s="1"/>
      <c r="M185" s="19">
        <f>CHAR(10)&amp;"'"&amp;F185&amp;"' =&gt; ("&amp;IF(I185="字符串","string)",IF(I185="数值","int)",IF(I185="布尔","bool)","int)time")))&amp;" _, //"&amp;G185&amp;", 如: "&amp;H185</f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x14ac:dyDescent="0.25" r="186" customHeight="1" ht="18">
      <c r="A186" s="70"/>
      <c r="B186" s="71"/>
      <c r="C186" s="35"/>
      <c r="D186" s="35"/>
      <c r="E186" s="35"/>
      <c r="F186" s="9" t="s">
        <v>836</v>
      </c>
      <c r="G186" s="9" t="s">
        <v>837</v>
      </c>
      <c r="H186" s="10" t="s">
        <v>875</v>
      </c>
      <c r="I186" s="9" t="s">
        <v>460</v>
      </c>
      <c r="J186" s="10">
        <f>VLOOKUP(F186,F:I,4,0)=I186</f>
      </c>
      <c r="K186" s="1"/>
      <c r="L186" s="1"/>
      <c r="M186" s="19">
        <f>CHAR(10)&amp;"'"&amp;F186&amp;"' =&gt; ("&amp;IF(I186="字符串","string)",IF(I186="数值","int)",IF(I186="布尔","bool)","int)time")))&amp;" _, //"&amp;G186&amp;", 如: "&amp;H186</f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x14ac:dyDescent="0.25" r="187" customHeight="1" ht="18">
      <c r="A187" s="70"/>
      <c r="B187" s="71"/>
      <c r="C187" s="96" t="s">
        <v>886</v>
      </c>
      <c r="D187" s="34" t="s">
        <v>887</v>
      </c>
      <c r="E187" s="96" t="s">
        <v>888</v>
      </c>
      <c r="F187" s="9" t="s">
        <v>889</v>
      </c>
      <c r="G187" s="9" t="s">
        <v>890</v>
      </c>
      <c r="H187" s="10" t="s">
        <v>891</v>
      </c>
      <c r="I187" s="9" t="s">
        <v>460</v>
      </c>
      <c r="J187" s="10">
        <f>VLOOKUP(F187,F:I,4,0)=I187</f>
      </c>
      <c r="K187" s="1"/>
      <c r="L187" s="1"/>
      <c r="M187" s="19">
        <f>CHAR(10)&amp;"'"&amp;F187&amp;"' =&gt; ("&amp;IF(I187="字符串","string)",IF(I187="数值","int)",IF(I187="布尔","bool)","int)time")))&amp;" _, //"&amp;G187&amp;", 如: "&amp;H187</f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x14ac:dyDescent="0.25" r="188" customHeight="1" ht="18">
      <c r="A188" s="70"/>
      <c r="B188" s="71"/>
      <c r="C188" s="35"/>
      <c r="D188" s="35"/>
      <c r="E188" s="35"/>
      <c r="F188" s="9" t="s">
        <v>892</v>
      </c>
      <c r="G188" s="9" t="s">
        <v>893</v>
      </c>
      <c r="H188" s="10" t="s">
        <v>894</v>
      </c>
      <c r="I188" s="9" t="s">
        <v>460</v>
      </c>
      <c r="J188" s="10">
        <f>VLOOKUP(F188,F:I,4,0)=I188</f>
      </c>
      <c r="K188" s="1"/>
      <c r="L188" s="1"/>
      <c r="M188" s="19">
        <f>CHAR(10)&amp;"'"&amp;F188&amp;"' =&gt; ("&amp;IF(I188="字符串","string)",IF(I188="数值","int)",IF(I188="布尔","bool)","int)time")))&amp;" _, //"&amp;G188&amp;", 如: "&amp;H188</f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x14ac:dyDescent="0.25" r="189" customHeight="1" ht="18">
      <c r="A189" s="70"/>
      <c r="B189" s="71"/>
      <c r="C189" s="35"/>
      <c r="D189" s="35"/>
      <c r="E189" s="35"/>
      <c r="F189" s="9" t="s">
        <v>895</v>
      </c>
      <c r="G189" s="9" t="s">
        <v>896</v>
      </c>
      <c r="H189" s="10" t="s">
        <v>897</v>
      </c>
      <c r="I189" s="9" t="s">
        <v>460</v>
      </c>
      <c r="J189" s="10">
        <f>VLOOKUP(F189,F:I,4,0)=I189</f>
      </c>
      <c r="K189" s="1"/>
      <c r="L189" s="1"/>
      <c r="M189" s="19">
        <f>CHAR(10)&amp;"'"&amp;F189&amp;"' =&gt; ("&amp;IF(I189="字符串","string)",IF(I189="数值","int)",IF(I189="布尔","bool)","int)time")))&amp;" _, //"&amp;G189&amp;", 如: "&amp;H189</f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x14ac:dyDescent="0.25" r="190" customHeight="1" ht="18">
      <c r="A190" s="70"/>
      <c r="B190" s="71"/>
      <c r="C190" s="96" t="s">
        <v>898</v>
      </c>
      <c r="D190" s="34" t="s">
        <v>899</v>
      </c>
      <c r="E190" s="34" t="s">
        <v>900</v>
      </c>
      <c r="F190" s="9" t="s">
        <v>901</v>
      </c>
      <c r="G190" s="9" t="s">
        <v>902</v>
      </c>
      <c r="H190" s="10" t="s">
        <v>903</v>
      </c>
      <c r="I190" s="9" t="s">
        <v>460</v>
      </c>
      <c r="J190" s="10">
        <f>VLOOKUP(F190,F:I,4,0)=I190</f>
      </c>
      <c r="K190" s="1"/>
      <c r="L190" s="1"/>
      <c r="M190" s="19">
        <f>CHAR(10)&amp;"'"&amp;F190&amp;"' =&gt; ("&amp;IF(I190="字符串","string)",IF(I190="数值","int)",IF(I190="布尔","bool)","int)time")))&amp;" _, //"&amp;G190&amp;", 如: "&amp;H190</f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x14ac:dyDescent="0.25" r="191" customHeight="1" ht="18">
      <c r="A191" s="70"/>
      <c r="B191" s="71"/>
      <c r="C191" s="35"/>
      <c r="D191" s="35"/>
      <c r="E191" s="35"/>
      <c r="F191" s="9" t="s">
        <v>736</v>
      </c>
      <c r="G191" s="9" t="s">
        <v>737</v>
      </c>
      <c r="H191" s="10" t="s">
        <v>904</v>
      </c>
      <c r="I191" s="9" t="s">
        <v>460</v>
      </c>
      <c r="J191" s="10">
        <f>VLOOKUP(F191,F:I,4,0)=I191</f>
      </c>
      <c r="K191" s="1"/>
      <c r="L191" s="1"/>
      <c r="M191" s="19">
        <f>CHAR(10)&amp;"'"&amp;F191&amp;"' =&gt; ("&amp;IF(I191="字符串","string)",IF(I191="数值","int)",IF(I191="布尔","bool)","int)time")))&amp;" _, //"&amp;G191&amp;", 如: "&amp;H191</f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x14ac:dyDescent="0.25" r="192" customHeight="1" ht="18">
      <c r="A192" s="70"/>
      <c r="B192" s="71"/>
      <c r="C192" s="35"/>
      <c r="D192" s="35"/>
      <c r="E192" s="35"/>
      <c r="F192" s="9" t="s">
        <v>634</v>
      </c>
      <c r="G192" s="9" t="s">
        <v>635</v>
      </c>
      <c r="H192" s="10" t="s">
        <v>905</v>
      </c>
      <c r="I192" s="9" t="s">
        <v>460</v>
      </c>
      <c r="J192" s="10">
        <f>VLOOKUP(F192,F:I,4,0)=I192</f>
      </c>
      <c r="K192" s="1"/>
      <c r="L192" s="1"/>
      <c r="M192" s="19">
        <f>CHAR(10)&amp;"'"&amp;F192&amp;"' =&gt; ("&amp;IF(I192="字符串","string)",IF(I192="数值","int)",IF(I192="布尔","bool)","int)time")))&amp;" _, //"&amp;G192&amp;", 如: "&amp;H192</f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x14ac:dyDescent="0.25" r="193" customHeight="1" ht="18">
      <c r="A193" s="70"/>
      <c r="B193" s="71"/>
      <c r="C193" s="96" t="s">
        <v>906</v>
      </c>
      <c r="D193" s="34" t="s">
        <v>907</v>
      </c>
      <c r="E193" s="34" t="s">
        <v>908</v>
      </c>
      <c r="F193" s="30" t="s">
        <v>909</v>
      </c>
      <c r="G193" s="9" t="s">
        <v>910</v>
      </c>
      <c r="H193" s="10">
        <v>12580</v>
      </c>
      <c r="I193" s="9" t="s">
        <v>460</v>
      </c>
      <c r="J193" s="10">
        <f>VLOOKUP(F193,F:I,4,0)=I193</f>
      </c>
      <c r="K193" s="1"/>
      <c r="L193" s="1"/>
      <c r="M193" s="19">
        <f>CHAR(10)&amp;"'"&amp;F193&amp;"' =&gt; ("&amp;IF(I193="字符串","string)",IF(I193="数值","int)",IF(I193="布尔","bool)","int)time")))&amp;" _, //"&amp;G193&amp;", 如: "&amp;H193</f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x14ac:dyDescent="0.25" r="194" customHeight="1" ht="18">
      <c r="A194" s="70"/>
      <c r="B194" s="71"/>
      <c r="C194" s="35"/>
      <c r="D194" s="35"/>
      <c r="E194" s="35"/>
      <c r="F194" s="9" t="s">
        <v>911</v>
      </c>
      <c r="G194" s="9" t="s">
        <v>912</v>
      </c>
      <c r="H194" s="10" t="s">
        <v>913</v>
      </c>
      <c r="I194" s="9" t="s">
        <v>460</v>
      </c>
      <c r="J194" s="10">
        <f>VLOOKUP(F194,F:I,4,0)=I194</f>
      </c>
      <c r="K194" s="1"/>
      <c r="L194" s="1"/>
      <c r="M194" s="19">
        <f>CHAR(10)&amp;"'"&amp;F194&amp;"' =&gt; ("&amp;IF(I194="字符串","string)",IF(I194="数值","int)",IF(I194="布尔","bool)","int)time")))&amp;" _, //"&amp;G194&amp;", 如: "&amp;H194</f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x14ac:dyDescent="0.25" r="195" customHeight="1" ht="18">
      <c r="A195" s="70"/>
      <c r="B195" s="71"/>
      <c r="C195" s="35"/>
      <c r="D195" s="35"/>
      <c r="E195" s="35"/>
      <c r="F195" s="9" t="s">
        <v>914</v>
      </c>
      <c r="G195" s="9" t="s">
        <v>915</v>
      </c>
      <c r="H195" s="10">
        <v>100</v>
      </c>
      <c r="I195" s="9" t="s">
        <v>481</v>
      </c>
      <c r="J195" s="10">
        <f>VLOOKUP(F195,F:I,4,0)=I195</f>
      </c>
      <c r="K195" s="1"/>
      <c r="L195" s="1"/>
      <c r="M195" s="19">
        <f>CHAR(10)&amp;"'"&amp;F195&amp;"' =&gt; ("&amp;IF(I195="字符串","string)",IF(I195="数值","int)",IF(I195="布尔","bool)","int)time")))&amp;" _, //"&amp;G195&amp;", 如: "&amp;H195</f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x14ac:dyDescent="0.25" r="196" customHeight="1" ht="18">
      <c r="A196" s="70"/>
      <c r="B196" s="71"/>
      <c r="C196" s="35"/>
      <c r="D196" s="35"/>
      <c r="E196" s="35"/>
      <c r="F196" s="9" t="s">
        <v>916</v>
      </c>
      <c r="G196" s="9" t="s">
        <v>917</v>
      </c>
      <c r="H196" s="10" t="s">
        <v>918</v>
      </c>
      <c r="I196" s="9" t="s">
        <v>460</v>
      </c>
      <c r="J196" s="10">
        <f>VLOOKUP(F196,F:I,4,0)=I196</f>
      </c>
      <c r="K196" s="1"/>
      <c r="L196" s="1"/>
      <c r="M196" s="19">
        <f>CHAR(10)&amp;"'"&amp;F196&amp;"' =&gt; ("&amp;IF(I196="字符串","string)",IF(I196="数值","int)",IF(I196="布尔","bool)","int)time")))&amp;" _, //"&amp;G196&amp;", 如: "&amp;H196</f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x14ac:dyDescent="0.25" r="197" customHeight="1" ht="18">
      <c r="A197" s="70"/>
      <c r="B197" s="71"/>
      <c r="C197" s="35"/>
      <c r="D197" s="35"/>
      <c r="E197" s="35"/>
      <c r="F197" s="9" t="s">
        <v>919</v>
      </c>
      <c r="G197" s="9" t="s">
        <v>840</v>
      </c>
      <c r="H197" s="10" t="s">
        <v>841</v>
      </c>
      <c r="I197" s="9" t="s">
        <v>460</v>
      </c>
      <c r="J197" s="10">
        <f>VLOOKUP(F197,F:I,4,0)=I197</f>
      </c>
      <c r="K197" s="1"/>
      <c r="L197" s="1"/>
      <c r="M197" s="19">
        <f>CHAR(10)&amp;"'"&amp;F197&amp;"' =&gt; ("&amp;IF(I197="字符串","string)",IF(I197="数值","int)",IF(I197="布尔","bool)","int)time")))&amp;" _, //"&amp;G197&amp;", 如: "&amp;H197</f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x14ac:dyDescent="0.25" r="198" customHeight="1" ht="18">
      <c r="A198" s="70"/>
      <c r="B198" s="71"/>
      <c r="C198" s="35"/>
      <c r="D198" s="35"/>
      <c r="E198" s="35"/>
      <c r="F198" s="9" t="s">
        <v>694</v>
      </c>
      <c r="G198" s="9" t="s">
        <v>695</v>
      </c>
      <c r="H198" s="10">
        <v>5</v>
      </c>
      <c r="I198" s="9" t="s">
        <v>481</v>
      </c>
      <c r="J198" s="10">
        <f>VLOOKUP(F198,F:I,4,0)=I198</f>
      </c>
      <c r="K198" s="1"/>
      <c r="L198" s="1"/>
      <c r="M198" s="19">
        <f>CHAR(10)&amp;"'"&amp;F198&amp;"' =&gt; ("&amp;IF(I198="字符串","string)",IF(I198="数值","int)",IF(I198="布尔","bool)","int)time")))&amp;" _, //"&amp;G198&amp;", 如: "&amp;H198</f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x14ac:dyDescent="0.25" r="199" customHeight="1" ht="18">
      <c r="A199" s="70"/>
      <c r="B199" s="71"/>
      <c r="C199" s="35"/>
      <c r="D199" s="35"/>
      <c r="E199" s="35"/>
      <c r="F199" s="9" t="s">
        <v>628</v>
      </c>
      <c r="G199" s="9" t="s">
        <v>629</v>
      </c>
      <c r="H199" s="10">
        <v>500</v>
      </c>
      <c r="I199" s="9" t="s">
        <v>481</v>
      </c>
      <c r="J199" s="10">
        <f>VLOOKUP(F199,F:I,4,0)=I199</f>
      </c>
      <c r="K199" s="1"/>
      <c r="L199" s="1"/>
      <c r="M199" s="19">
        <f>CHAR(10)&amp;"'"&amp;F199&amp;"' =&gt; ("&amp;IF(I199="字符串","string)",IF(I199="数值","int)",IF(I199="布尔","bool)","int)time")))&amp;" _, //"&amp;G199&amp;", 如: "&amp;H199</f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x14ac:dyDescent="0.25" r="200" customHeight="1" ht="18">
      <c r="A200" s="70"/>
      <c r="B200" s="71"/>
      <c r="C200" s="35"/>
      <c r="D200" s="35"/>
      <c r="E200" s="35"/>
      <c r="F200" s="30" t="s">
        <v>632</v>
      </c>
      <c r="G200" s="9" t="s">
        <v>633</v>
      </c>
      <c r="H200" s="10">
        <v>1000</v>
      </c>
      <c r="I200" s="9" t="s">
        <v>481</v>
      </c>
      <c r="J200" s="10">
        <f>VLOOKUP(F200,F:I,4,0)=I200</f>
      </c>
      <c r="K200" s="1"/>
      <c r="L200" s="1"/>
      <c r="M200" s="19">
        <f>CHAR(10)&amp;"'"&amp;F200&amp;"' =&gt; ("&amp;IF(I200="字符串","string)",IF(I200="数值","int)",IF(I200="布尔","bool)","int)time")))&amp;" _, //"&amp;G200&amp;", 如: "&amp;H200</f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x14ac:dyDescent="0.25" r="201" customHeight="1" ht="18">
      <c r="A201" s="70"/>
      <c r="B201" s="71"/>
      <c r="C201" s="35"/>
      <c r="D201" s="35"/>
      <c r="E201" s="35"/>
      <c r="F201" s="30" t="s">
        <v>920</v>
      </c>
      <c r="G201" s="30" t="s">
        <v>921</v>
      </c>
      <c r="H201" s="10">
        <v>1</v>
      </c>
      <c r="I201" s="9" t="s">
        <v>481</v>
      </c>
      <c r="J201" s="10">
        <f>VLOOKUP(F201,F:I,4,0)=I201</f>
      </c>
      <c r="K201" s="1"/>
      <c r="L201" s="1"/>
      <c r="M201" s="6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x14ac:dyDescent="0.25" r="202" customHeight="1" ht="18">
      <c r="A202" s="70"/>
      <c r="B202" s="71"/>
      <c r="C202" s="35"/>
      <c r="D202" s="35"/>
      <c r="E202" s="35"/>
      <c r="F202" s="30" t="s">
        <v>922</v>
      </c>
      <c r="G202" s="30" t="s">
        <v>923</v>
      </c>
      <c r="H202" s="10"/>
      <c r="I202" s="9" t="s">
        <v>481</v>
      </c>
      <c r="J202" s="10">
        <f>VLOOKUP(F202,F:I,4,0)=I202</f>
      </c>
      <c r="K202" s="1"/>
      <c r="L202" s="1"/>
      <c r="M202" s="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x14ac:dyDescent="0.25" r="203" customHeight="1" ht="18">
      <c r="A203" s="70"/>
      <c r="B203" s="71"/>
      <c r="C203" s="35"/>
      <c r="D203" s="35"/>
      <c r="E203" s="35"/>
      <c r="F203" s="30" t="s">
        <v>924</v>
      </c>
      <c r="G203" s="30" t="s">
        <v>925</v>
      </c>
      <c r="H203" s="10"/>
      <c r="I203" s="9" t="s">
        <v>481</v>
      </c>
      <c r="J203" s="10">
        <f>VLOOKUP(F203,F:I,4,0)=I203</f>
      </c>
      <c r="K203" s="1"/>
      <c r="L203" s="1"/>
      <c r="M203" s="6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x14ac:dyDescent="0.25" r="204" customHeight="1" ht="18">
      <c r="A204" s="70"/>
      <c r="B204" s="71"/>
      <c r="C204" s="35"/>
      <c r="D204" s="35"/>
      <c r="E204" s="35"/>
      <c r="F204" s="30" t="s">
        <v>926</v>
      </c>
      <c r="G204" s="30" t="s">
        <v>927</v>
      </c>
      <c r="H204" s="10"/>
      <c r="I204" s="9" t="s">
        <v>481</v>
      </c>
      <c r="J204" s="10">
        <f>VLOOKUP(F204,F:I,4,0)=I204</f>
      </c>
      <c r="K204" s="1"/>
      <c r="L204" s="1"/>
      <c r="M204" s="6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x14ac:dyDescent="0.25" r="205" customHeight="1" ht="18">
      <c r="A205" s="70"/>
      <c r="B205" s="71"/>
      <c r="C205" s="35"/>
      <c r="D205" s="35"/>
      <c r="E205" s="35"/>
      <c r="F205" s="9" t="s">
        <v>928</v>
      </c>
      <c r="G205" s="9" t="s">
        <v>929</v>
      </c>
      <c r="H205" s="10" t="s">
        <v>570</v>
      </c>
      <c r="I205" s="9" t="s">
        <v>571</v>
      </c>
      <c r="J205" s="10">
        <f>VLOOKUP(F205,F:I,4,0)=I205</f>
      </c>
      <c r="K205" s="1"/>
      <c r="L205" s="1"/>
      <c r="M205" s="19">
        <f>CHAR(10)&amp;"'"&amp;F205&amp;"' =&gt; ("&amp;IF(I205="字符串","string)",IF(I205="数值","int)",IF(I205="布尔","bool)","int)time")))&amp;" _, //"&amp;G205&amp;", 如: "&amp;H205</f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x14ac:dyDescent="0.25" r="206" customHeight="1" ht="18">
      <c r="A206" s="70"/>
      <c r="B206" s="71"/>
      <c r="C206" s="14" t="s">
        <v>930</v>
      </c>
      <c r="D206" s="14" t="s">
        <v>931</v>
      </c>
      <c r="E206" s="14" t="s">
        <v>932</v>
      </c>
      <c r="F206" s="9" t="s">
        <v>628</v>
      </c>
      <c r="G206" s="30" t="s">
        <v>629</v>
      </c>
      <c r="H206" s="10">
        <v>1</v>
      </c>
      <c r="I206" s="30" t="s">
        <v>481</v>
      </c>
      <c r="J206" s="109">
        <f>VLOOKUP(F206,F:I,4,0)=I206</f>
      </c>
      <c r="K206" s="2"/>
      <c r="L206" s="2"/>
      <c r="M206" s="1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x14ac:dyDescent="0.25" r="207" customHeight="1" ht="18">
      <c r="A207" s="70"/>
      <c r="B207" s="71"/>
      <c r="C207" s="71"/>
      <c r="D207" s="71"/>
      <c r="E207" s="71"/>
      <c r="F207" s="9" t="s">
        <v>632</v>
      </c>
      <c r="G207" s="30" t="s">
        <v>633</v>
      </c>
      <c r="H207" s="10">
        <v>2</v>
      </c>
      <c r="I207" s="30" t="s">
        <v>481</v>
      </c>
      <c r="J207" s="109">
        <f>VLOOKUP(F207,F:I,4,0)=I207</f>
      </c>
      <c r="K207" s="2"/>
      <c r="L207" s="2"/>
      <c r="M207" s="1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x14ac:dyDescent="0.25" r="208" customHeight="1" ht="18">
      <c r="A208" s="97"/>
      <c r="B208" s="81"/>
      <c r="C208" s="81"/>
      <c r="D208" s="81"/>
      <c r="E208" s="81"/>
      <c r="F208" s="9" t="s">
        <v>634</v>
      </c>
      <c r="G208" s="30" t="s">
        <v>635</v>
      </c>
      <c r="H208" s="22" t="s">
        <v>933</v>
      </c>
      <c r="I208" s="30" t="s">
        <v>460</v>
      </c>
      <c r="J208" s="109">
        <f>VLOOKUP(F208,F:I,4,0)=I208</f>
      </c>
      <c r="K208" s="2"/>
      <c r="L208" s="2"/>
      <c r="M208" s="1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x14ac:dyDescent="0.25" r="209" customHeight="1" ht="18">
      <c r="A209" s="65" t="s">
        <v>76</v>
      </c>
      <c r="B209" s="66" t="s">
        <v>934</v>
      </c>
      <c r="C209" s="34" t="s">
        <v>935</v>
      </c>
      <c r="D209" s="34" t="s">
        <v>936</v>
      </c>
      <c r="E209" s="34" t="s">
        <v>937</v>
      </c>
      <c r="F209" s="9" t="s">
        <v>938</v>
      </c>
      <c r="G209" s="9" t="s">
        <v>939</v>
      </c>
      <c r="H209" s="10">
        <v>1</v>
      </c>
      <c r="I209" s="9" t="s">
        <v>460</v>
      </c>
      <c r="J209" s="10">
        <f>VLOOKUP(F209,F:I,4,0)=I209</f>
      </c>
      <c r="K209" s="1"/>
      <c r="L209" s="1"/>
      <c r="M209" s="6">
        <f>CHAR(10)&amp;"'"&amp;F209&amp;"' =&gt; ("&amp;IF(I209="字符串","string)",IF(I209="数值","int)",IF(I209="布尔","bool)","int)time")))&amp;" _, //"&amp;G209&amp;", 如: "&amp;H209</f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x14ac:dyDescent="0.25" r="210" customHeight="1" ht="18">
      <c r="A210" s="70"/>
      <c r="B210" s="71"/>
      <c r="C210" s="35"/>
      <c r="D210" s="35"/>
      <c r="E210" s="35"/>
      <c r="F210" s="9" t="s">
        <v>632</v>
      </c>
      <c r="G210" s="9" t="s">
        <v>633</v>
      </c>
      <c r="H210" s="10">
        <v>1</v>
      </c>
      <c r="I210" s="9" t="s">
        <v>481</v>
      </c>
      <c r="J210" s="10">
        <f>VLOOKUP(F210,F:I,4,0)=I210</f>
      </c>
      <c r="K210" s="1"/>
      <c r="L210" s="1"/>
      <c r="M210" s="6">
        <f>CHAR(10)&amp;"'"&amp;F210&amp;"' =&gt; ("&amp;IF(I210="字符串","string)",IF(I210="数值","int)",IF(I210="布尔","bool)","int)time")))&amp;" _, //"&amp;G210&amp;", 如: "&amp;H210</f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x14ac:dyDescent="0.25" r="211" customHeight="1" ht="18">
      <c r="A211" s="70"/>
      <c r="B211" s="71"/>
      <c r="C211" s="34" t="s">
        <v>940</v>
      </c>
      <c r="D211" s="34" t="s">
        <v>941</v>
      </c>
      <c r="E211" s="34" t="s">
        <v>942</v>
      </c>
      <c r="F211" s="9" t="s">
        <v>943</v>
      </c>
      <c r="G211" s="9" t="s">
        <v>944</v>
      </c>
      <c r="H211" s="10" t="s">
        <v>945</v>
      </c>
      <c r="I211" s="9" t="s">
        <v>460</v>
      </c>
      <c r="J211" s="10">
        <f>VLOOKUP(F211,F:I,4,0)=I211</f>
      </c>
      <c r="K211" s="1"/>
      <c r="L211" s="1"/>
      <c r="M211" s="19">
        <f>CHAR(10)&amp;"'"&amp;F211&amp;"' =&gt; ("&amp;IF(I211="字符串","string)",IF(I211="数值","int)",IF(I211="布尔","bool)","int)time")))&amp;" _, //"&amp;G211&amp;", 如: "&amp;H211</f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x14ac:dyDescent="0.25" r="212" customHeight="1" ht="18">
      <c r="A212" s="70"/>
      <c r="B212" s="71"/>
      <c r="C212" s="35"/>
      <c r="D212" s="35"/>
      <c r="E212" s="35"/>
      <c r="F212" s="9" t="s">
        <v>946</v>
      </c>
      <c r="G212" s="9" t="s">
        <v>947</v>
      </c>
      <c r="H212" s="10" t="s">
        <v>948</v>
      </c>
      <c r="I212" s="9" t="s">
        <v>460</v>
      </c>
      <c r="J212" s="10">
        <f>VLOOKUP(F212,F:I,4,0)=I212</f>
      </c>
      <c r="K212" s="1"/>
      <c r="L212" s="1"/>
      <c r="M212" s="19">
        <f>CHAR(10)&amp;"'"&amp;F212&amp;"' =&gt; ("&amp;IF(I212="字符串","string)",IF(I212="数值","int)",IF(I212="布尔","bool)","int)time")))&amp;" _, //"&amp;G212&amp;", 如: "&amp;H212</f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x14ac:dyDescent="0.25" r="213" customHeight="1" ht="18">
      <c r="A213" s="70"/>
      <c r="B213" s="71"/>
      <c r="C213" s="35"/>
      <c r="D213" s="35"/>
      <c r="E213" s="35"/>
      <c r="F213" s="30" t="s">
        <v>949</v>
      </c>
      <c r="G213" s="9" t="s">
        <v>950</v>
      </c>
      <c r="H213" s="10">
        <v>100</v>
      </c>
      <c r="I213" s="9" t="s">
        <v>481</v>
      </c>
      <c r="J213" s="10">
        <f>VLOOKUP(F213,F:I,4,0)=I213</f>
      </c>
      <c r="K213" s="1"/>
      <c r="L213" s="1"/>
      <c r="M213" s="19">
        <f>CHAR(10)&amp;"'"&amp;F213&amp;"' =&gt; ("&amp;IF(I213="字符串","string)",IF(I213="数值","int)",IF(I213="布尔","bool)","int)time")))&amp;" _, //"&amp;G213&amp;", 如: "&amp;H213</f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x14ac:dyDescent="0.25" r="214" customHeight="1" ht="18">
      <c r="A214" s="70"/>
      <c r="B214" s="71"/>
      <c r="C214" s="35"/>
      <c r="D214" s="35"/>
      <c r="E214" s="35"/>
      <c r="F214" s="30" t="s">
        <v>951</v>
      </c>
      <c r="G214" s="9" t="s">
        <v>952</v>
      </c>
      <c r="H214" s="10">
        <v>10</v>
      </c>
      <c r="I214" s="9" t="s">
        <v>481</v>
      </c>
      <c r="J214" s="10">
        <f>VLOOKUP(F214,F:I,4,0)=I214</f>
      </c>
      <c r="K214" s="1"/>
      <c r="L214" s="1"/>
      <c r="M214" s="19">
        <f>CHAR(10)&amp;"'"&amp;F214&amp;"' =&gt; ("&amp;IF(I214="字符串","string)",IF(I214="数值","int)",IF(I214="布尔","bool)","int)time")))&amp;" _, //"&amp;G214&amp;", 如: "&amp;H214</f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x14ac:dyDescent="0.25" r="215" customHeight="1" ht="18">
      <c r="A215" s="70"/>
      <c r="B215" s="71"/>
      <c r="C215" s="35"/>
      <c r="D215" s="35"/>
      <c r="E215" s="35"/>
      <c r="F215" s="9" t="s">
        <v>938</v>
      </c>
      <c r="G215" s="9" t="s">
        <v>939</v>
      </c>
      <c r="H215" s="10">
        <v>1</v>
      </c>
      <c r="I215" s="9" t="s">
        <v>460</v>
      </c>
      <c r="J215" s="10">
        <f>VLOOKUP(F215,F:I,4,0)=I215</f>
      </c>
      <c r="K215" s="1"/>
      <c r="L215" s="1"/>
      <c r="M215" s="19">
        <f>CHAR(10)&amp;"'"&amp;F215&amp;"' =&gt; ("&amp;IF(I215="字符串","string)",IF(I215="数值","int)",IF(I215="布尔","bool)","int)time")))&amp;" _, //"&amp;G215&amp;", 如: "&amp;H215</f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x14ac:dyDescent="0.25" r="216" customHeight="1" ht="18">
      <c r="A216" s="70"/>
      <c r="B216" s="71"/>
      <c r="C216" s="35"/>
      <c r="D216" s="35"/>
      <c r="E216" s="35"/>
      <c r="F216" s="110" t="s">
        <v>953</v>
      </c>
      <c r="G216" s="111" t="s">
        <v>954</v>
      </c>
      <c r="H216" s="112">
        <v>1</v>
      </c>
      <c r="I216" s="111" t="s">
        <v>460</v>
      </c>
      <c r="J216" s="10">
        <f>VLOOKUP(F216,F:I,4,0)=I216</f>
      </c>
      <c r="K216" s="1"/>
      <c r="L216" s="1"/>
      <c r="M216" s="19">
        <f>CHAR(10)&amp;"'"&amp;F216&amp;"' =&gt; ("&amp;IF(I216="字符串","string)",IF(I216="数值","int)",IF(I216="布尔","bool)","int)time")))&amp;" _, //"&amp;G216&amp;", 如: "&amp;H216</f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x14ac:dyDescent="0.25" r="217" customHeight="1" ht="18">
      <c r="A217" s="70"/>
      <c r="B217" s="71"/>
      <c r="C217" s="35"/>
      <c r="D217" s="35"/>
      <c r="E217" s="35"/>
      <c r="F217" s="9" t="s">
        <v>955</v>
      </c>
      <c r="G217" s="9" t="s">
        <v>956</v>
      </c>
      <c r="H217" s="10">
        <v>1</v>
      </c>
      <c r="I217" s="9" t="s">
        <v>460</v>
      </c>
      <c r="J217" s="10">
        <f>VLOOKUP(F217,F:I,4,0)=I217</f>
      </c>
      <c r="K217" s="1"/>
      <c r="L217" s="1"/>
      <c r="M217" s="19">
        <f>CHAR(10)&amp;"'"&amp;F217&amp;"' =&gt; ("&amp;IF(I217="字符串","string)",IF(I217="数值","int)",IF(I217="布尔","bool)","int)time")))&amp;" _, //"&amp;G217&amp;", 如: "&amp;H217</f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x14ac:dyDescent="0.25" r="218" customHeight="1" ht="18">
      <c r="A218" s="70"/>
      <c r="B218" s="71"/>
      <c r="C218" s="9" t="s">
        <v>957</v>
      </c>
      <c r="D218" s="9" t="s">
        <v>958</v>
      </c>
      <c r="E218" s="9" t="s">
        <v>959</v>
      </c>
      <c r="F218" s="9" t="s">
        <v>946</v>
      </c>
      <c r="G218" s="9" t="s">
        <v>947</v>
      </c>
      <c r="H218" s="10" t="s">
        <v>948</v>
      </c>
      <c r="I218" s="9" t="s">
        <v>460</v>
      </c>
      <c r="J218" s="10">
        <f>VLOOKUP(F218,F:I,4,0)=I218</f>
      </c>
      <c r="K218" s="1"/>
      <c r="L218" s="1"/>
      <c r="M218" s="19">
        <f>CHAR(10)&amp;"'"&amp;F218&amp;"' =&gt; ("&amp;IF(I218="字符串","string)",IF(I218="数值","int)",IF(I218="布尔","bool)","int)time")))&amp;" _, //"&amp;G218&amp;", 如: "&amp;H218</f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x14ac:dyDescent="0.25" r="219" customHeight="1" ht="18">
      <c r="A219" s="70"/>
      <c r="B219" s="71"/>
      <c r="C219" s="34" t="s">
        <v>960</v>
      </c>
      <c r="D219" s="34" t="s">
        <v>961</v>
      </c>
      <c r="E219" s="34" t="s">
        <v>962</v>
      </c>
      <c r="F219" s="30" t="s">
        <v>943</v>
      </c>
      <c r="G219" s="9" t="s">
        <v>944</v>
      </c>
      <c r="H219" s="10" t="s">
        <v>945</v>
      </c>
      <c r="I219" s="9" t="s">
        <v>460</v>
      </c>
      <c r="J219" s="10">
        <f>VLOOKUP(F219,F:I,4,0)=I219</f>
      </c>
      <c r="K219" s="1"/>
      <c r="L219" s="1"/>
      <c r="M219" s="19">
        <f>CHAR(10)&amp;"'"&amp;F219&amp;"' =&gt; ("&amp;IF(I219="字符串","string)",IF(I219="数值","int)",IF(I219="布尔","bool)","int)time")))&amp;" _, //"&amp;G219&amp;", 如: "&amp;H219</f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x14ac:dyDescent="0.25" r="220" customHeight="1" ht="18">
      <c r="A220" s="70"/>
      <c r="B220" s="71"/>
      <c r="C220" s="35"/>
      <c r="D220" s="35"/>
      <c r="E220" s="35"/>
      <c r="F220" s="9" t="s">
        <v>946</v>
      </c>
      <c r="G220" s="9" t="s">
        <v>947</v>
      </c>
      <c r="H220" s="10" t="s">
        <v>948</v>
      </c>
      <c r="I220" s="9" t="s">
        <v>460</v>
      </c>
      <c r="J220" s="10">
        <f>VLOOKUP(F220,F:I,4,0)=I220</f>
      </c>
      <c r="K220" s="1"/>
      <c r="L220" s="1"/>
      <c r="M220" s="19">
        <f>CHAR(10)&amp;"'"&amp;F220&amp;"' =&gt; ("&amp;IF(I220="字符串","string)",IF(I220="数值","int)",IF(I220="布尔","bool)","int)time")))&amp;" _, //"&amp;G220&amp;", 如: "&amp;H220</f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x14ac:dyDescent="0.25" r="221" customHeight="1" ht="18">
      <c r="A221" s="70"/>
      <c r="B221" s="71"/>
      <c r="C221" s="35"/>
      <c r="D221" s="35"/>
      <c r="E221" s="35"/>
      <c r="F221" s="9" t="s">
        <v>951</v>
      </c>
      <c r="G221" s="9" t="s">
        <v>952</v>
      </c>
      <c r="H221" s="10">
        <v>10</v>
      </c>
      <c r="I221" s="9" t="s">
        <v>481</v>
      </c>
      <c r="J221" s="10">
        <f>VLOOKUP(F221,F:I,4,0)=I221</f>
      </c>
      <c r="K221" s="1"/>
      <c r="L221" s="1"/>
      <c r="M221" s="19">
        <f>CHAR(10)&amp;"'"&amp;F221&amp;"' =&gt; ("&amp;IF(I221="字符串","string)",IF(I221="数值","int)",IF(I221="布尔","bool)","int)time")))&amp;" _, //"&amp;G221&amp;", 如: "&amp;H221</f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x14ac:dyDescent="0.25" r="222" customHeight="1" ht="18">
      <c r="A222" s="70"/>
      <c r="B222" s="71"/>
      <c r="C222" s="35"/>
      <c r="D222" s="35"/>
      <c r="E222" s="35"/>
      <c r="F222" s="30" t="s">
        <v>955</v>
      </c>
      <c r="G222" s="9" t="s">
        <v>956</v>
      </c>
      <c r="H222" s="10">
        <v>1</v>
      </c>
      <c r="I222" s="9" t="s">
        <v>460</v>
      </c>
      <c r="J222" s="10">
        <f>VLOOKUP(F222,F:I,4,0)=I222</f>
      </c>
      <c r="K222" s="1"/>
      <c r="L222" s="1"/>
      <c r="M222" s="19">
        <f>CHAR(10)&amp;"'"&amp;F222&amp;"' =&gt; ("&amp;IF(I222="字符串","string)",IF(I222="数值","int)",IF(I222="布尔","bool)","int)time")))&amp;" _, //"&amp;G222&amp;", 如: "&amp;H222</f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x14ac:dyDescent="0.25" r="223" customHeight="1" ht="18">
      <c r="A223" s="70"/>
      <c r="B223" s="71"/>
      <c r="C223" s="35"/>
      <c r="D223" s="35"/>
      <c r="E223" s="35"/>
      <c r="F223" s="30" t="s">
        <v>953</v>
      </c>
      <c r="G223" s="9" t="s">
        <v>954</v>
      </c>
      <c r="H223" s="10">
        <v>1</v>
      </c>
      <c r="I223" s="9" t="s">
        <v>460</v>
      </c>
      <c r="J223" s="10">
        <f>VLOOKUP(F223,F:I,4,0)=I223</f>
      </c>
      <c r="K223" s="1"/>
      <c r="L223" s="1"/>
      <c r="M223" s="19">
        <f>CHAR(10)&amp;"'"&amp;F223&amp;"' =&gt; ("&amp;IF(I223="字符串","string)",IF(I223="数值","int)",IF(I223="布尔","bool)","int)time")))&amp;" _, //"&amp;G223&amp;", 如: "&amp;H223</f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x14ac:dyDescent="0.25" r="224" customHeight="1" ht="18">
      <c r="A224" s="70"/>
      <c r="B224" s="71"/>
      <c r="C224" s="113" t="s">
        <v>963</v>
      </c>
      <c r="D224" s="114" t="s">
        <v>964</v>
      </c>
      <c r="E224" s="114" t="s">
        <v>965</v>
      </c>
      <c r="F224" s="94" t="s">
        <v>943</v>
      </c>
      <c r="G224" s="68" t="s">
        <v>944</v>
      </c>
      <c r="H224" s="69" t="s">
        <v>945</v>
      </c>
      <c r="I224" s="94" t="s">
        <v>460</v>
      </c>
      <c r="J224" s="10">
        <f>VLOOKUP(F224,F:I,4,0)=I224</f>
      </c>
      <c r="K224" s="1"/>
      <c r="L224" s="1"/>
      <c r="M224" s="6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x14ac:dyDescent="0.25" r="225" customHeight="1" ht="18">
      <c r="A225" s="70"/>
      <c r="B225" s="71"/>
      <c r="C225" s="71"/>
      <c r="D225" s="71"/>
      <c r="E225" s="71"/>
      <c r="F225" s="68" t="s">
        <v>946</v>
      </c>
      <c r="G225" s="68" t="s">
        <v>947</v>
      </c>
      <c r="H225" s="69" t="s">
        <v>948</v>
      </c>
      <c r="I225" s="94" t="s">
        <v>460</v>
      </c>
      <c r="J225" s="10">
        <f>VLOOKUP(F225,F:I,4,0)=I225</f>
      </c>
      <c r="K225" s="1"/>
      <c r="L225" s="1"/>
      <c r="M225" s="6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x14ac:dyDescent="0.25" r="226" customHeight="1" ht="18">
      <c r="A226" s="70"/>
      <c r="B226" s="71"/>
      <c r="C226" s="71"/>
      <c r="D226" s="71"/>
      <c r="E226" s="71"/>
      <c r="F226" s="68" t="s">
        <v>951</v>
      </c>
      <c r="G226" s="68" t="s">
        <v>952</v>
      </c>
      <c r="H226" s="69">
        <v>10</v>
      </c>
      <c r="I226" s="94" t="s">
        <v>481</v>
      </c>
      <c r="J226" s="10">
        <f>VLOOKUP(F226,F:I,4,0)=I226</f>
      </c>
      <c r="K226" s="1"/>
      <c r="L226" s="1"/>
      <c r="M226" s="6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x14ac:dyDescent="0.25" r="227" customHeight="1" ht="18">
      <c r="A227" s="70"/>
      <c r="B227" s="71"/>
      <c r="C227" s="71"/>
      <c r="D227" s="71"/>
      <c r="E227" s="71"/>
      <c r="F227" s="94" t="s">
        <v>955</v>
      </c>
      <c r="G227" s="68" t="s">
        <v>956</v>
      </c>
      <c r="H227" s="69">
        <v>1</v>
      </c>
      <c r="I227" s="94" t="s">
        <v>481</v>
      </c>
      <c r="J227" s="10">
        <f>VLOOKUP(F227,F:I,4,0)=I227</f>
      </c>
      <c r="K227" s="1"/>
      <c r="L227" s="1"/>
      <c r="M227" s="6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x14ac:dyDescent="0.25" r="228" customHeight="1" ht="18">
      <c r="A228" s="70"/>
      <c r="B228" s="71"/>
      <c r="C228" s="71"/>
      <c r="D228" s="71"/>
      <c r="E228" s="71"/>
      <c r="F228" s="68" t="s">
        <v>630</v>
      </c>
      <c r="G228" s="94" t="s">
        <v>966</v>
      </c>
      <c r="H228" s="69"/>
      <c r="I228" s="94" t="s">
        <v>481</v>
      </c>
      <c r="J228" s="10">
        <f>VLOOKUP(F228,F:I,4,0)=I228</f>
      </c>
      <c r="K228" s="1"/>
      <c r="L228" s="1"/>
      <c r="M228" s="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x14ac:dyDescent="0.25" r="229" customHeight="1" ht="18">
      <c r="A229" s="70"/>
      <c r="B229" s="71"/>
      <c r="C229" s="71"/>
      <c r="D229" s="71"/>
      <c r="E229" s="71"/>
      <c r="F229" s="68" t="s">
        <v>628</v>
      </c>
      <c r="G229" s="94" t="s">
        <v>967</v>
      </c>
      <c r="H229" s="69"/>
      <c r="I229" s="94" t="s">
        <v>481</v>
      </c>
      <c r="J229" s="10">
        <f>VLOOKUP(F229,F:I,4,0)=I229</f>
      </c>
      <c r="K229" s="1"/>
      <c r="L229" s="1"/>
      <c r="M229" s="6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x14ac:dyDescent="0.25" r="230" customHeight="1" ht="18">
      <c r="A230" s="70"/>
      <c r="B230" s="71"/>
      <c r="C230" s="71"/>
      <c r="D230" s="71"/>
      <c r="E230" s="71"/>
      <c r="F230" s="68" t="s">
        <v>632</v>
      </c>
      <c r="G230" s="94" t="s">
        <v>968</v>
      </c>
      <c r="H230" s="69"/>
      <c r="I230" s="94" t="s">
        <v>481</v>
      </c>
      <c r="J230" s="10">
        <f>VLOOKUP(F230,F:I,4,0)=I230</f>
      </c>
      <c r="K230" s="1"/>
      <c r="L230" s="1"/>
      <c r="M230" s="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x14ac:dyDescent="0.25" r="231" customHeight="1" ht="18">
      <c r="A231" s="70"/>
      <c r="B231" s="71"/>
      <c r="C231" s="71"/>
      <c r="D231" s="71"/>
      <c r="E231" s="71"/>
      <c r="F231" s="68" t="s">
        <v>736</v>
      </c>
      <c r="G231" s="68" t="s">
        <v>737</v>
      </c>
      <c r="H231" s="69" t="s">
        <v>969</v>
      </c>
      <c r="I231" s="94" t="s">
        <v>460</v>
      </c>
      <c r="J231" s="10">
        <f>VLOOKUP(F231,F:I,4,0)=I231</f>
      </c>
      <c r="K231" s="1"/>
      <c r="L231" s="1"/>
      <c r="M231" s="6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x14ac:dyDescent="0.25" r="232" customHeight="1" ht="18">
      <c r="A232" s="70"/>
      <c r="B232" s="71"/>
      <c r="C232" s="71"/>
      <c r="D232" s="71"/>
      <c r="E232" s="71"/>
      <c r="F232" s="68" t="s">
        <v>970</v>
      </c>
      <c r="G232" s="68" t="s">
        <v>971</v>
      </c>
      <c r="H232" s="69">
        <v>1901</v>
      </c>
      <c r="I232" s="94" t="s">
        <v>481</v>
      </c>
      <c r="J232" s="10">
        <f>VLOOKUP(F232,F:I,4,0)=I232</f>
      </c>
      <c r="K232" s="1"/>
      <c r="L232" s="1"/>
      <c r="M232" s="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x14ac:dyDescent="0.25" r="233" customHeight="1" ht="18">
      <c r="A233" s="97"/>
      <c r="B233" s="81"/>
      <c r="C233" s="81"/>
      <c r="D233" s="81"/>
      <c r="E233" s="81"/>
      <c r="F233" s="68" t="s">
        <v>634</v>
      </c>
      <c r="G233" s="94" t="s">
        <v>972</v>
      </c>
      <c r="H233" s="77" t="s">
        <v>973</v>
      </c>
      <c r="I233" s="94" t="s">
        <v>460</v>
      </c>
      <c r="J233" s="10">
        <f>VLOOKUP(F233,F:I,4,0)=I233</f>
      </c>
      <c r="K233" s="1"/>
      <c r="L233" s="1"/>
      <c r="M233" s="6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x14ac:dyDescent="0.25" r="234" customHeight="1" ht="18">
      <c r="A234" s="34" t="s">
        <v>974</v>
      </c>
      <c r="B234" s="66" t="s">
        <v>975</v>
      </c>
      <c r="C234" s="34" t="s">
        <v>976</v>
      </c>
      <c r="D234" s="34" t="s">
        <v>974</v>
      </c>
      <c r="E234" s="34" t="s">
        <v>977</v>
      </c>
      <c r="F234" s="9" t="s">
        <v>978</v>
      </c>
      <c r="G234" s="9" t="s">
        <v>979</v>
      </c>
      <c r="H234" s="10" t="s">
        <v>980</v>
      </c>
      <c r="I234" s="9" t="s">
        <v>460</v>
      </c>
      <c r="J234" s="10">
        <f>VLOOKUP(F234,F:I,4,0)=I234</f>
      </c>
      <c r="K234" s="1"/>
      <c r="L234" s="1"/>
      <c r="M234" s="19">
        <f>CHAR(10)&amp;"'"&amp;F234&amp;"' =&gt; ("&amp;IF(I234="字符串","string)",IF(I234="数值","int)",IF(I234="布尔","bool)","int)time")))&amp;" _, //"&amp;G234&amp;", 如: "&amp;H234</f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x14ac:dyDescent="0.25" r="235" customHeight="1" ht="18">
      <c r="A235" s="35"/>
      <c r="B235" s="71"/>
      <c r="C235" s="35"/>
      <c r="D235" s="35"/>
      <c r="E235" s="35"/>
      <c r="F235" s="9" t="s">
        <v>981</v>
      </c>
      <c r="G235" s="9" t="s">
        <v>982</v>
      </c>
      <c r="H235" s="10">
        <v>101</v>
      </c>
      <c r="I235" s="9" t="s">
        <v>460</v>
      </c>
      <c r="J235" s="10">
        <f>VLOOKUP(F235,F:I,4,0)=I235</f>
      </c>
      <c r="K235" s="1"/>
      <c r="L235" s="1"/>
      <c r="M235" s="19">
        <f>CHAR(10)&amp;"'"&amp;F235&amp;"' =&gt; ("&amp;IF(I235="字符串","string)",IF(I235="数值","int)",IF(I235="布尔","bool)","int)time")))&amp;" _, //"&amp;G235&amp;", 如: "&amp;H235</f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x14ac:dyDescent="0.25" r="236" customHeight="1" ht="18">
      <c r="A236" s="35"/>
      <c r="B236" s="71"/>
      <c r="C236" s="35"/>
      <c r="D236" s="35"/>
      <c r="E236" s="35"/>
      <c r="F236" s="30" t="s">
        <v>983</v>
      </c>
      <c r="G236" s="9" t="s">
        <v>984</v>
      </c>
      <c r="H236" s="10" t="s">
        <v>985</v>
      </c>
      <c r="I236" s="9" t="s">
        <v>460</v>
      </c>
      <c r="J236" s="10">
        <f>VLOOKUP(F236,F:I,4,0)=I236</f>
      </c>
      <c r="K236" s="1"/>
      <c r="L236" s="1"/>
      <c r="M236" s="19">
        <f>CHAR(10)&amp;"'"&amp;F236&amp;"' =&gt; ("&amp;IF(I236="字符串","string)",IF(I236="数值","int)",IF(I236="布尔","bool)","int)time")))&amp;" _, //"&amp;G236&amp;", 如: "&amp;H236</f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x14ac:dyDescent="0.25" r="237" customHeight="1" ht="18">
      <c r="A237" s="35"/>
      <c r="B237" s="71"/>
      <c r="C237" s="35"/>
      <c r="D237" s="35"/>
      <c r="E237" s="35"/>
      <c r="F237" s="9" t="s">
        <v>628</v>
      </c>
      <c r="G237" s="9" t="s">
        <v>629</v>
      </c>
      <c r="H237" s="10">
        <v>1000</v>
      </c>
      <c r="I237" s="9" t="s">
        <v>481</v>
      </c>
      <c r="J237" s="10">
        <f>VLOOKUP(F237,F:I,4,0)=I237</f>
      </c>
      <c r="K237" s="1"/>
      <c r="L237" s="1"/>
      <c r="M237" s="19">
        <f>CHAR(10)&amp;"'"&amp;F237&amp;"' =&gt; ("&amp;IF(I237="字符串","string)",IF(I237="数值","int)",IF(I237="布尔","bool)","int)time")))&amp;" _, //"&amp;G237&amp;", 如: "&amp;H237</f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x14ac:dyDescent="0.25" r="238" customHeight="1" ht="18">
      <c r="A238" s="35"/>
      <c r="B238" s="71"/>
      <c r="C238" s="35"/>
      <c r="D238" s="35"/>
      <c r="E238" s="35"/>
      <c r="F238" s="9" t="s">
        <v>632</v>
      </c>
      <c r="G238" s="9" t="s">
        <v>633</v>
      </c>
      <c r="H238" s="10">
        <v>1050</v>
      </c>
      <c r="I238" s="9" t="s">
        <v>481</v>
      </c>
      <c r="J238" s="10">
        <f>VLOOKUP(F238,F:I,4,0)=I238</f>
      </c>
      <c r="K238" s="1"/>
      <c r="L238" s="1"/>
      <c r="M238" s="19">
        <f>CHAR(10)&amp;"'"&amp;F238&amp;"' =&gt; ("&amp;IF(I238="字符串","string)",IF(I238="数值","int)",IF(I238="布尔","bool)","int)time")))&amp;" _, //"&amp;G238&amp;", 如: "&amp;H238</f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x14ac:dyDescent="0.25" r="239" customHeight="1" ht="18">
      <c r="A239" s="35"/>
      <c r="B239" s="71"/>
      <c r="C239" s="35"/>
      <c r="D239" s="35"/>
      <c r="E239" s="35"/>
      <c r="F239" s="9" t="s">
        <v>736</v>
      </c>
      <c r="G239" s="9" t="s">
        <v>737</v>
      </c>
      <c r="H239" s="10" t="s">
        <v>969</v>
      </c>
      <c r="I239" s="9" t="s">
        <v>460</v>
      </c>
      <c r="J239" s="10">
        <f>VLOOKUP(F239,F:I,4,0)=I239</f>
      </c>
      <c r="K239" s="1"/>
      <c r="L239" s="1"/>
      <c r="M239" s="19">
        <f>CHAR(10)&amp;"'"&amp;F239&amp;"' =&gt; ("&amp;IF(I239="字符串","string)",IF(I239="数值","int)",IF(I239="布尔","bool)","int)time")))&amp;" _, //"&amp;G239&amp;", 如: "&amp;H239</f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x14ac:dyDescent="0.25" r="240" customHeight="1" ht="18">
      <c r="A240" s="35"/>
      <c r="B240" s="71"/>
      <c r="C240" s="35"/>
      <c r="D240" s="35"/>
      <c r="E240" s="35"/>
      <c r="F240" s="9" t="s">
        <v>970</v>
      </c>
      <c r="G240" s="9" t="s">
        <v>971</v>
      </c>
      <c r="H240" s="10">
        <v>1901</v>
      </c>
      <c r="I240" s="9" t="s">
        <v>460</v>
      </c>
      <c r="J240" s="10">
        <f>VLOOKUP(F240,F:I,4,0)=I240</f>
      </c>
      <c r="K240" s="1"/>
      <c r="L240" s="1"/>
      <c r="M240" s="19">
        <f>CHAR(10)&amp;"'"&amp;F240&amp;"' =&gt; ("&amp;IF(I240="字符串","string)",IF(I240="数值","int)",IF(I240="布尔","bool)","int)time")))&amp;" _, //"&amp;G240&amp;", 如: "&amp;H240</f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x14ac:dyDescent="0.25" r="241" customHeight="1" ht="18">
      <c r="A241" s="35"/>
      <c r="B241" s="71"/>
      <c r="C241" s="35"/>
      <c r="D241" s="35"/>
      <c r="E241" s="35"/>
      <c r="F241" s="9" t="s">
        <v>986</v>
      </c>
      <c r="G241" s="9" t="s">
        <v>987</v>
      </c>
      <c r="H241" s="10" t="s">
        <v>875</v>
      </c>
      <c r="I241" s="9" t="s">
        <v>460</v>
      </c>
      <c r="J241" s="10">
        <f>VLOOKUP(F241,F:I,4,0)=I241</f>
      </c>
      <c r="K241" s="1"/>
      <c r="L241" s="1"/>
      <c r="M241" s="19">
        <f>CHAR(10)&amp;"'"&amp;F241&amp;"' =&gt; ("&amp;IF(I241="字符串","string)",IF(I241="数值","int)",IF(I241="布尔","bool)","int)time")))&amp;" _, //"&amp;G241&amp;", 如: "&amp;H241</f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x14ac:dyDescent="0.25" r="242" customHeight="1" ht="18">
      <c r="A242" s="35"/>
      <c r="B242" s="71"/>
      <c r="C242" s="35"/>
      <c r="D242" s="35"/>
      <c r="E242" s="35"/>
      <c r="F242" s="9" t="s">
        <v>634</v>
      </c>
      <c r="G242" s="9" t="s">
        <v>635</v>
      </c>
      <c r="H242" s="10" t="s">
        <v>988</v>
      </c>
      <c r="I242" s="9" t="s">
        <v>460</v>
      </c>
      <c r="J242" s="10">
        <f>VLOOKUP(F242,F:I,4,0)=I242</f>
      </c>
      <c r="K242" s="1"/>
      <c r="L242" s="1"/>
      <c r="M242" s="19">
        <f>CHAR(10)&amp;"'"&amp;F242&amp;"' =&gt; ("&amp;IF(I242="字符串","string)",IF(I242="数值","int)",IF(I242="布尔","bool)","int)time")))&amp;" _, //"&amp;G242&amp;", 如: "&amp;H242</f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x14ac:dyDescent="0.25" r="243" customHeight="1" ht="18">
      <c r="A243" s="35"/>
      <c r="B243" s="81"/>
      <c r="C243" s="35"/>
      <c r="D243" s="35"/>
      <c r="E243" s="35"/>
      <c r="F243" s="9" t="s">
        <v>989</v>
      </c>
      <c r="G243" s="9" t="s">
        <v>990</v>
      </c>
      <c r="H243" s="10" t="s">
        <v>97</v>
      </c>
      <c r="I243" s="9" t="s">
        <v>460</v>
      </c>
      <c r="J243" s="10">
        <f>VLOOKUP(F243,F:I,4,0)=I243</f>
      </c>
      <c r="K243" s="1"/>
      <c r="L243" s="1"/>
      <c r="M243" s="19">
        <f>CHAR(10)&amp;"'"&amp;F243&amp;"' =&gt; ("&amp;IF(I243="字符串","string)",IF(I243="数值","int)",IF(I243="布尔","bool)","int)time")))&amp;" _, //"&amp;G243&amp;", 如: "&amp;H243</f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x14ac:dyDescent="0.25" r="244" customHeight="1" ht="18">
      <c r="A244" s="9" t="s">
        <v>991</v>
      </c>
      <c r="B244" s="9" t="s">
        <v>992</v>
      </c>
      <c r="C244" s="30" t="s">
        <v>993</v>
      </c>
      <c r="D244" s="9" t="s">
        <v>991</v>
      </c>
      <c r="E244" s="9" t="s">
        <v>994</v>
      </c>
      <c r="F244" s="30" t="s">
        <v>995</v>
      </c>
      <c r="G244" s="9" t="s">
        <v>996</v>
      </c>
      <c r="H244" s="10" t="s">
        <v>997</v>
      </c>
      <c r="I244" s="9" t="s">
        <v>460</v>
      </c>
      <c r="J244" s="10">
        <f>VLOOKUP(F244,F:I,4,0)=I244</f>
      </c>
      <c r="K244" s="1"/>
      <c r="L244" s="1"/>
      <c r="M244" s="19">
        <f>CHAR(10)&amp;"'"&amp;F244&amp;"' =&gt; ("&amp;IF(I244="字符串","string)",IF(I244="数值","int)",IF(I244="布尔","bool)","int)time")))&amp;" _, //"&amp;G244&amp;", 如: "&amp;H244</f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x14ac:dyDescent="0.25" r="245" customHeight="1" ht="18">
      <c r="A245" s="101" t="s">
        <v>998</v>
      </c>
      <c r="B245" s="66" t="s">
        <v>999</v>
      </c>
      <c r="C245" s="66" t="s">
        <v>501</v>
      </c>
      <c r="D245" s="14" t="s">
        <v>1000</v>
      </c>
      <c r="E245" s="14" t="s">
        <v>1001</v>
      </c>
      <c r="F245" s="30" t="s">
        <v>1002</v>
      </c>
      <c r="G245" s="30" t="s">
        <v>1003</v>
      </c>
      <c r="H245" s="22" t="s">
        <v>1004</v>
      </c>
      <c r="I245" s="30" t="s">
        <v>571</v>
      </c>
      <c r="J245" s="10">
        <f>VLOOKUP(F245,F:I,4,0)=I245</f>
      </c>
      <c r="K245" s="1"/>
      <c r="L245" s="1"/>
      <c r="M245" s="19">
        <f>CHAR(10)&amp;"'"&amp;F245&amp;"' =&gt; ("&amp;IF(I245="字符串","string)",IF(I245="数值","int)",IF(I245="布尔","bool)","int)time")))&amp;" _, //"&amp;G245&amp;", 如: "&amp;H245</f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x14ac:dyDescent="0.25" r="246" customHeight="1" ht="18">
      <c r="A246" s="70"/>
      <c r="B246" s="71"/>
      <c r="C246" s="71"/>
      <c r="D246" s="71"/>
      <c r="E246" s="71"/>
      <c r="F246" s="9" t="s">
        <v>1005</v>
      </c>
      <c r="G246" s="9" t="s">
        <v>1006</v>
      </c>
      <c r="H246" s="10" t="s">
        <v>1007</v>
      </c>
      <c r="I246" s="9" t="s">
        <v>460</v>
      </c>
      <c r="J246" s="10">
        <f>VLOOKUP(F246,F:I,4,0)=I246</f>
      </c>
      <c r="K246" s="1"/>
      <c r="L246" s="1"/>
      <c r="M246" s="19">
        <f>CHAR(10)&amp;"'"&amp;F246&amp;"' =&gt; ("&amp;IF(I246="字符串","string)",IF(I246="数值","int)",IF(I246="布尔","bool)","int)time")))&amp;" _, //"&amp;G246&amp;", 如: "&amp;H246</f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x14ac:dyDescent="0.25" r="247" customHeight="1" ht="18">
      <c r="A247" s="97"/>
      <c r="B247" s="81"/>
      <c r="C247" s="81"/>
      <c r="D247" s="81"/>
      <c r="E247" s="81"/>
      <c r="F247" s="9" t="s">
        <v>1008</v>
      </c>
      <c r="G247" s="9" t="s">
        <v>1009</v>
      </c>
      <c r="H247" s="10" t="s">
        <v>1010</v>
      </c>
      <c r="I247" s="9" t="s">
        <v>460</v>
      </c>
      <c r="J247" s="10">
        <f>VLOOKUP(F247,F:I,4,0)=I247</f>
      </c>
      <c r="K247" s="1"/>
      <c r="L247" s="1"/>
      <c r="M247" s="19">
        <f>CHAR(10)&amp;"'"&amp;F247&amp;"' =&gt; ("&amp;IF(I247="字符串","string)",IF(I247="数值","int)",IF(I247="布尔","bool)","int)time")))&amp;" _, //"&amp;G247&amp;", 如: "&amp;H247</f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x14ac:dyDescent="0.25" r="248" customHeight="1" ht="18">
      <c r="A248" s="65" t="s">
        <v>80</v>
      </c>
      <c r="B248" s="66" t="s">
        <v>1011</v>
      </c>
      <c r="C248" s="34" t="s">
        <v>1012</v>
      </c>
      <c r="D248" s="34" t="s">
        <v>1013</v>
      </c>
      <c r="E248" s="34" t="s">
        <v>1014</v>
      </c>
      <c r="F248" s="9" t="s">
        <v>463</v>
      </c>
      <c r="G248" s="9" t="s">
        <v>1015</v>
      </c>
      <c r="H248" s="10">
        <v>10</v>
      </c>
      <c r="I248" s="9" t="s">
        <v>460</v>
      </c>
      <c r="J248" s="10">
        <f>VLOOKUP(F248,F:I,4,0)=I248</f>
      </c>
      <c r="K248" s="1"/>
      <c r="L248" s="1"/>
      <c r="M248" s="19">
        <f>CHAR(10)&amp;"'"&amp;F248&amp;"' =&gt; ("&amp;IF(I248="字符串","string)",IF(I248="数值","int)",IF(I248="布尔","bool)","int)time")))&amp;" _, //"&amp;G248&amp;", 如: "&amp;H248</f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x14ac:dyDescent="0.25" r="249" customHeight="1" ht="18">
      <c r="A249" s="70"/>
      <c r="B249" s="71"/>
      <c r="C249" s="35"/>
      <c r="D249" s="9"/>
      <c r="E249" s="9"/>
      <c r="F249" s="9" t="s">
        <v>1016</v>
      </c>
      <c r="G249" s="9" t="s">
        <v>1017</v>
      </c>
      <c r="H249" s="10">
        <v>11</v>
      </c>
      <c r="I249" s="9" t="s">
        <v>460</v>
      </c>
      <c r="J249" s="10">
        <f>VLOOKUP(F249,F:I,4,0)=I249</f>
      </c>
      <c r="K249" s="1"/>
      <c r="L249" s="1"/>
      <c r="M249" s="19">
        <f>CHAR(10)&amp;"'"&amp;F249&amp;"' =&gt; ("&amp;IF(I249="字符串","string)",IF(I249="数值","int)",IF(I249="布尔","bool)","int)time")))&amp;" _, //"&amp;G249&amp;", 如: "&amp;H249</f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x14ac:dyDescent="0.25" r="250" customHeight="1" ht="18">
      <c r="A250" s="70"/>
      <c r="B250" s="71"/>
      <c r="C250" s="35"/>
      <c r="D250" s="9"/>
      <c r="E250" s="9"/>
      <c r="F250" s="9" t="s">
        <v>1018</v>
      </c>
      <c r="G250" s="9" t="s">
        <v>1019</v>
      </c>
      <c r="H250" s="10">
        <v>1</v>
      </c>
      <c r="I250" s="9" t="s">
        <v>481</v>
      </c>
      <c r="J250" s="10">
        <f>VLOOKUP(F250,F:I,4,0)=I250</f>
      </c>
      <c r="K250" s="1"/>
      <c r="L250" s="1"/>
      <c r="M250" s="19">
        <f>CHAR(10)&amp;"'"&amp;F250&amp;"' =&gt; ("&amp;IF(I250="字符串","string)",IF(I250="数值","int)",IF(I250="布尔","bool)","int)time")))&amp;" _, //"&amp;G250&amp;", 如: "&amp;H250</f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x14ac:dyDescent="0.25" r="251" customHeight="1" ht="18">
      <c r="A251" s="70"/>
      <c r="B251" s="71"/>
      <c r="C251" s="35"/>
      <c r="D251" s="9"/>
      <c r="E251" s="9"/>
      <c r="F251" s="9" t="s">
        <v>1020</v>
      </c>
      <c r="G251" s="9" t="s">
        <v>1021</v>
      </c>
      <c r="H251" s="10" t="s">
        <v>1022</v>
      </c>
      <c r="I251" s="9" t="s">
        <v>460</v>
      </c>
      <c r="J251" s="10">
        <f>VLOOKUP(F251,F:I,4,0)=I251</f>
      </c>
      <c r="K251" s="1"/>
      <c r="L251" s="1"/>
      <c r="M251" s="19">
        <f>CHAR(10)&amp;"'"&amp;F251&amp;"' =&gt; ("&amp;IF(I251="字符串","string)",IF(I251="数值","int)",IF(I251="布尔","bool)","int)time")))&amp;" _, //"&amp;G251&amp;", 如: "&amp;H251</f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x14ac:dyDescent="0.25" r="252" customHeight="1" ht="18">
      <c r="A252" s="70"/>
      <c r="B252" s="71"/>
      <c r="C252" s="34" t="s">
        <v>1023</v>
      </c>
      <c r="D252" s="34" t="s">
        <v>1024</v>
      </c>
      <c r="E252" s="34" t="s">
        <v>1025</v>
      </c>
      <c r="F252" s="9" t="s">
        <v>463</v>
      </c>
      <c r="G252" s="9" t="s">
        <v>1015</v>
      </c>
      <c r="H252" s="10">
        <v>10</v>
      </c>
      <c r="I252" s="9" t="s">
        <v>460</v>
      </c>
      <c r="J252" s="10">
        <f>VLOOKUP(F252,F:I,4,0)=I252</f>
      </c>
      <c r="K252" s="1"/>
      <c r="L252" s="1"/>
      <c r="M252" s="19">
        <f>CHAR(10)&amp;"'"&amp;F252&amp;"' =&gt; ("&amp;IF(I252="字符串","string)",IF(I252="数值","int)",IF(I252="布尔","bool)","int)time")))&amp;" _, //"&amp;G252&amp;", 如: "&amp;H252</f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x14ac:dyDescent="0.25" r="253" customHeight="1" ht="18">
      <c r="A253" s="70"/>
      <c r="B253" s="71"/>
      <c r="C253" s="35"/>
      <c r="D253" s="9"/>
      <c r="E253" s="9"/>
      <c r="F253" s="9" t="s">
        <v>1016</v>
      </c>
      <c r="G253" s="9" t="s">
        <v>1017</v>
      </c>
      <c r="H253" s="10">
        <v>11</v>
      </c>
      <c r="I253" s="9" t="s">
        <v>460</v>
      </c>
      <c r="J253" s="10">
        <f>VLOOKUP(F253,F:I,4,0)=I253</f>
      </c>
      <c r="K253" s="1"/>
      <c r="L253" s="1"/>
      <c r="M253" s="19">
        <f>CHAR(10)&amp;"'"&amp;F253&amp;"' =&gt; ("&amp;IF(I253="字符串","string)",IF(I253="数值","int)",IF(I253="布尔","bool)","int)time")))&amp;" _, //"&amp;G253&amp;", 如: "&amp;H253</f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x14ac:dyDescent="0.25" r="254" customHeight="1" ht="18">
      <c r="A254" s="70"/>
      <c r="B254" s="71"/>
      <c r="C254" s="35"/>
      <c r="D254" s="9"/>
      <c r="E254" s="9"/>
      <c r="F254" s="9" t="s">
        <v>1018</v>
      </c>
      <c r="G254" s="9" t="s">
        <v>1019</v>
      </c>
      <c r="H254" s="10">
        <v>1</v>
      </c>
      <c r="I254" s="9" t="s">
        <v>481</v>
      </c>
      <c r="J254" s="10">
        <f>VLOOKUP(F254,F:I,4,0)=I254</f>
      </c>
      <c r="K254" s="1"/>
      <c r="L254" s="1"/>
      <c r="M254" s="19">
        <f>CHAR(10)&amp;"'"&amp;F254&amp;"' =&gt; ("&amp;IF(I254="字符串","string)",IF(I254="数值","int)",IF(I254="布尔","bool)","int)time")))&amp;" _, //"&amp;G254&amp;", 如: "&amp;H254</f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x14ac:dyDescent="0.25" r="255" customHeight="1" ht="18">
      <c r="A255" s="70"/>
      <c r="B255" s="71"/>
      <c r="C255" s="35"/>
      <c r="D255" s="9"/>
      <c r="E255" s="9"/>
      <c r="F255" s="9" t="s">
        <v>1020</v>
      </c>
      <c r="G255" s="9" t="s">
        <v>1021</v>
      </c>
      <c r="H255" s="10" t="s">
        <v>1022</v>
      </c>
      <c r="I255" s="9" t="s">
        <v>460</v>
      </c>
      <c r="J255" s="10">
        <f>VLOOKUP(F255,F:I,4,0)=I255</f>
      </c>
      <c r="K255" s="1"/>
      <c r="L255" s="1"/>
      <c r="M255" s="19">
        <f>CHAR(10)&amp;"'"&amp;F255&amp;"' =&gt; ("&amp;IF(I255="字符串","string)",IF(I255="数值","int)",IF(I255="布尔","bool)","int)time")))&amp;" _, //"&amp;G255&amp;", 如: "&amp;H255</f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x14ac:dyDescent="0.25" r="256" customHeight="1" ht="18">
      <c r="A256" s="70"/>
      <c r="B256" s="71"/>
      <c r="C256" s="35"/>
      <c r="D256" s="9"/>
      <c r="E256" s="9"/>
      <c r="F256" s="9" t="s">
        <v>1026</v>
      </c>
      <c r="G256" s="9" t="s">
        <v>1027</v>
      </c>
      <c r="H256" s="10">
        <v>1</v>
      </c>
      <c r="I256" s="9" t="s">
        <v>460</v>
      </c>
      <c r="J256" s="10">
        <f>VLOOKUP(F256,F:I,4,0)=I256</f>
      </c>
      <c r="K256" s="1"/>
      <c r="L256" s="1"/>
      <c r="M256" s="19">
        <f>CHAR(10)&amp;"'"&amp;F256&amp;"' =&gt; ("&amp;IF(I256="字符串","string)",IF(I256="数值","int)",IF(I256="布尔","bool)","int)time")))&amp;" _, //"&amp;G256&amp;", 如: "&amp;H256</f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x14ac:dyDescent="0.25" r="257" customHeight="1" ht="18">
      <c r="A257" s="70"/>
      <c r="B257" s="71"/>
      <c r="C257" s="34" t="s">
        <v>1028</v>
      </c>
      <c r="D257" s="34" t="s">
        <v>1029</v>
      </c>
      <c r="E257" s="34" t="s">
        <v>1030</v>
      </c>
      <c r="F257" s="9" t="s">
        <v>463</v>
      </c>
      <c r="G257" s="9" t="s">
        <v>1015</v>
      </c>
      <c r="H257" s="10">
        <v>10</v>
      </c>
      <c r="I257" s="9" t="s">
        <v>460</v>
      </c>
      <c r="J257" s="10">
        <f>VLOOKUP(F257,F:I,4,0)=I257</f>
      </c>
      <c r="K257" s="1"/>
      <c r="L257" s="1"/>
      <c r="M257" s="19">
        <f>CHAR(10)&amp;"'"&amp;F257&amp;"' =&gt; ("&amp;IF(I257="字符串","string)",IF(I257="数值","int)",IF(I257="布尔","bool)","int)time")))&amp;" _, //"&amp;G257&amp;", 如: "&amp;H257</f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x14ac:dyDescent="0.25" r="258" customHeight="1" ht="18">
      <c r="A258" s="70"/>
      <c r="B258" s="71"/>
      <c r="C258" s="35"/>
      <c r="D258" s="9"/>
      <c r="E258" s="9"/>
      <c r="F258" s="9" t="s">
        <v>1016</v>
      </c>
      <c r="G258" s="9" t="s">
        <v>1017</v>
      </c>
      <c r="H258" s="10">
        <v>11</v>
      </c>
      <c r="I258" s="9" t="s">
        <v>460</v>
      </c>
      <c r="J258" s="10">
        <f>VLOOKUP(F258,F:I,4,0)=I258</f>
      </c>
      <c r="K258" s="1"/>
      <c r="L258" s="1"/>
      <c r="M258" s="19">
        <f>CHAR(10)&amp;"'"&amp;F258&amp;"' =&gt; ("&amp;IF(I258="字符串","string)",IF(I258="数值","int)",IF(I258="布尔","bool)","int)time")))&amp;" _, //"&amp;G258&amp;", 如: "&amp;H258</f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x14ac:dyDescent="0.25" r="259" customHeight="1" ht="18">
      <c r="A259" s="70"/>
      <c r="B259" s="71"/>
      <c r="C259" s="35"/>
      <c r="D259" s="9"/>
      <c r="E259" s="9"/>
      <c r="F259" s="30" t="s">
        <v>1018</v>
      </c>
      <c r="G259" s="9" t="s">
        <v>1019</v>
      </c>
      <c r="H259" s="10">
        <v>1</v>
      </c>
      <c r="I259" s="9" t="s">
        <v>481</v>
      </c>
      <c r="J259" s="10">
        <f>VLOOKUP(F259,F:I,4,0)=I259</f>
      </c>
      <c r="K259" s="1"/>
      <c r="L259" s="1"/>
      <c r="M259" s="19">
        <f>CHAR(10)&amp;"'"&amp;F259&amp;"' =&gt; ("&amp;IF(I259="字符串","string)",IF(I259="数值","int)",IF(I259="布尔","bool)","int)time")))&amp;" _, //"&amp;G259&amp;", 如: "&amp;H259</f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x14ac:dyDescent="0.25" r="260" customHeight="1" ht="18">
      <c r="A260" s="70"/>
      <c r="B260" s="71"/>
      <c r="C260" s="35"/>
      <c r="D260" s="9"/>
      <c r="E260" s="9"/>
      <c r="F260" s="30" t="s">
        <v>1031</v>
      </c>
      <c r="G260" s="9" t="s">
        <v>1021</v>
      </c>
      <c r="H260" s="10" t="s">
        <v>1022</v>
      </c>
      <c r="I260" s="9" t="s">
        <v>460</v>
      </c>
      <c r="J260" s="10">
        <f>VLOOKUP(F260,F:I,4,0)=I260</f>
      </c>
      <c r="K260" s="1"/>
      <c r="L260" s="1"/>
      <c r="M260" s="19">
        <f>CHAR(10)&amp;"'"&amp;F260&amp;"' =&gt; ("&amp;IF(I260="字符串","string)",IF(I260="数值","int)",IF(I260="布尔","bool)","int)time")))&amp;" _, //"&amp;G260&amp;", 如: "&amp;H260</f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x14ac:dyDescent="0.25" r="261" customHeight="1" ht="18">
      <c r="A261" s="70"/>
      <c r="B261" s="71"/>
      <c r="C261" s="35"/>
      <c r="D261" s="9"/>
      <c r="E261" s="9"/>
      <c r="F261" s="9" t="s">
        <v>1026</v>
      </c>
      <c r="G261" s="9" t="s">
        <v>1027</v>
      </c>
      <c r="H261" s="10">
        <v>1</v>
      </c>
      <c r="I261" s="9" t="s">
        <v>460</v>
      </c>
      <c r="J261" s="10">
        <f>VLOOKUP(F261,F:I,4,0)=I261</f>
      </c>
      <c r="K261" s="1"/>
      <c r="L261" s="1"/>
      <c r="M261" s="19">
        <f>CHAR(10)&amp;"'"&amp;F261&amp;"' =&gt; ("&amp;IF(I261="字符串","string)",IF(I261="数值","int)",IF(I261="布尔","bool)","int)time")))&amp;" _, //"&amp;G261&amp;", 如: "&amp;H261</f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x14ac:dyDescent="0.25" r="262" customHeight="1" ht="18">
      <c r="A262" s="70"/>
      <c r="B262" s="71"/>
      <c r="C262" s="35"/>
      <c r="D262" s="9"/>
      <c r="E262" s="9"/>
      <c r="F262" s="9" t="s">
        <v>634</v>
      </c>
      <c r="G262" s="9" t="s">
        <v>635</v>
      </c>
      <c r="H262" s="10" t="s">
        <v>1032</v>
      </c>
      <c r="I262" s="9" t="s">
        <v>460</v>
      </c>
      <c r="J262" s="10">
        <f>VLOOKUP(F262,F:I,4,0)=I262</f>
      </c>
      <c r="K262" s="1"/>
      <c r="L262" s="1"/>
      <c r="M262" s="19">
        <f>CHAR(10)&amp;"'"&amp;F262&amp;"' =&gt; ("&amp;IF(I262="字符串","string)",IF(I262="数值","int)",IF(I262="布尔","bool)","int)time")))&amp;" _, //"&amp;G262&amp;", 如: "&amp;H262</f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x14ac:dyDescent="0.25" r="263" customHeight="1" ht="18">
      <c r="A263" s="70"/>
      <c r="B263" s="71"/>
      <c r="C263" s="34" t="s">
        <v>1033</v>
      </c>
      <c r="D263" s="34" t="s">
        <v>1034</v>
      </c>
      <c r="E263" s="34" t="s">
        <v>1035</v>
      </c>
      <c r="F263" s="9" t="s">
        <v>463</v>
      </c>
      <c r="G263" s="9" t="s">
        <v>1015</v>
      </c>
      <c r="H263" s="10">
        <v>1</v>
      </c>
      <c r="I263" s="9" t="s">
        <v>460</v>
      </c>
      <c r="J263" s="10">
        <f>VLOOKUP(F263,F:I,4,0)=I263</f>
      </c>
      <c r="K263" s="1"/>
      <c r="L263" s="1"/>
      <c r="M263" s="19">
        <f>CHAR(10)&amp;"'"&amp;F263&amp;"' =&gt; ("&amp;IF(I263="字符串","string)",IF(I263="数值","int)",IF(I263="布尔","bool)","int)time")))&amp;" _, //"&amp;G263&amp;", 如: "&amp;H263</f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x14ac:dyDescent="0.25" r="264" customHeight="1" ht="18">
      <c r="A264" s="70"/>
      <c r="B264" s="71"/>
      <c r="C264" s="35"/>
      <c r="D264" s="35"/>
      <c r="E264" s="35"/>
      <c r="F264" s="9" t="s">
        <v>1016</v>
      </c>
      <c r="G264" s="9" t="s">
        <v>1017</v>
      </c>
      <c r="H264" s="10" t="s">
        <v>1036</v>
      </c>
      <c r="I264" s="9" t="s">
        <v>460</v>
      </c>
      <c r="J264" s="10">
        <f>VLOOKUP(F264,F:I,4,0)=I264</f>
      </c>
      <c r="K264" s="1"/>
      <c r="L264" s="1"/>
      <c r="M264" s="19">
        <f>CHAR(10)&amp;"'"&amp;F264&amp;"' =&gt; ("&amp;IF(I264="字符串","string)",IF(I264="数值","int)",IF(I264="布尔","bool)","int)time")))&amp;" _, //"&amp;G264&amp;", 如: "&amp;H264</f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x14ac:dyDescent="0.25" r="265" customHeight="1" ht="18">
      <c r="A265" s="70"/>
      <c r="B265" s="71"/>
      <c r="C265" s="35"/>
      <c r="D265" s="35"/>
      <c r="E265" s="35"/>
      <c r="F265" s="9" t="s">
        <v>1037</v>
      </c>
      <c r="G265" s="9" t="s">
        <v>1038</v>
      </c>
      <c r="H265" s="10">
        <v>1</v>
      </c>
      <c r="I265" s="9" t="s">
        <v>460</v>
      </c>
      <c r="J265" s="10">
        <f>VLOOKUP(F265,F:I,4,0)=I265</f>
      </c>
      <c r="K265" s="1"/>
      <c r="L265" s="1"/>
      <c r="M265" s="19">
        <f>CHAR(10)&amp;"'"&amp;F265&amp;"' =&gt; ("&amp;IF(I265="字符串","string)",IF(I265="数值","int)",IF(I265="布尔","bool)","int)time")))&amp;" _, //"&amp;G265&amp;", 如: "&amp;H265</f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x14ac:dyDescent="0.25" r="266" customHeight="1" ht="18">
      <c r="A266" s="70"/>
      <c r="B266" s="71"/>
      <c r="C266" s="35"/>
      <c r="D266" s="35"/>
      <c r="E266" s="35"/>
      <c r="F266" s="9" t="s">
        <v>634</v>
      </c>
      <c r="G266" s="9" t="s">
        <v>635</v>
      </c>
      <c r="H266" s="10" t="s">
        <v>1039</v>
      </c>
      <c r="I266" s="9" t="s">
        <v>460</v>
      </c>
      <c r="J266" s="10">
        <f>VLOOKUP(F266,F:I,4,0)=I266</f>
      </c>
      <c r="K266" s="1"/>
      <c r="L266" s="1"/>
      <c r="M266" s="19">
        <f>CHAR(10)&amp;"'"&amp;F266&amp;"' =&gt; ("&amp;IF(I266="字符串","string)",IF(I266="数值","int)",IF(I266="布尔","bool)","int)time")))&amp;" _, //"&amp;G266&amp;", 如: "&amp;H266</f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x14ac:dyDescent="0.25" r="267" customHeight="1" ht="18">
      <c r="A267" s="70"/>
      <c r="B267" s="71"/>
      <c r="C267" s="34" t="s">
        <v>1040</v>
      </c>
      <c r="D267" s="96" t="s">
        <v>1041</v>
      </c>
      <c r="E267" s="96" t="s">
        <v>1042</v>
      </c>
      <c r="F267" s="9" t="s">
        <v>463</v>
      </c>
      <c r="G267" s="9" t="s">
        <v>1015</v>
      </c>
      <c r="H267" s="10">
        <v>1</v>
      </c>
      <c r="I267" s="9" t="s">
        <v>460</v>
      </c>
      <c r="J267" s="10">
        <f>VLOOKUP(F267,F:I,4,0)=I267</f>
      </c>
      <c r="K267" s="1"/>
      <c r="L267" s="1"/>
      <c r="M267" s="19">
        <f>CHAR(10)&amp;"'"&amp;F267&amp;"' =&gt; ("&amp;IF(I267="字符串","string)",IF(I267="数值","int)",IF(I267="布尔","bool)","int)time")))&amp;" _, //"&amp;G267&amp;", 如: "&amp;H267</f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x14ac:dyDescent="0.25" r="268" customHeight="1" ht="18">
      <c r="A268" s="70"/>
      <c r="B268" s="71"/>
      <c r="C268" s="35"/>
      <c r="D268" s="35"/>
      <c r="E268" s="35"/>
      <c r="F268" s="9" t="s">
        <v>1016</v>
      </c>
      <c r="G268" s="9" t="s">
        <v>1017</v>
      </c>
      <c r="H268" s="10" t="s">
        <v>1036</v>
      </c>
      <c r="I268" s="9" t="s">
        <v>460</v>
      </c>
      <c r="J268" s="10">
        <f>VLOOKUP(F268,F:I,4,0)=I268</f>
      </c>
      <c r="K268" s="1"/>
      <c r="L268" s="1"/>
      <c r="M268" s="19">
        <f>CHAR(10)&amp;"'"&amp;F268&amp;"' =&gt; ("&amp;IF(I268="字符串","string)",IF(I268="数值","int)",IF(I268="布尔","bool)","int)time")))&amp;" _, //"&amp;G268&amp;", 如: "&amp;H268</f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x14ac:dyDescent="0.25" r="269" customHeight="1" ht="18">
      <c r="A269" s="70"/>
      <c r="B269" s="71"/>
      <c r="C269" s="35"/>
      <c r="D269" s="35"/>
      <c r="E269" s="35"/>
      <c r="F269" s="9" t="s">
        <v>1018</v>
      </c>
      <c r="G269" s="9" t="s">
        <v>1019</v>
      </c>
      <c r="H269" s="10">
        <v>2</v>
      </c>
      <c r="I269" s="9" t="s">
        <v>481</v>
      </c>
      <c r="J269" s="10">
        <f>VLOOKUP(F269,F:I,4,0)=I269</f>
      </c>
      <c r="K269" s="1"/>
      <c r="L269" s="1"/>
      <c r="M269" s="19">
        <f>CHAR(10)&amp;"'"&amp;F269&amp;"' =&gt; ("&amp;IF(I269="字符串","string)",IF(I269="数值","int)",IF(I269="布尔","bool)","int)time")))&amp;" _, //"&amp;G269&amp;", 如: "&amp;H269</f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x14ac:dyDescent="0.25" r="270" customHeight="1" ht="18">
      <c r="A270" s="70"/>
      <c r="B270" s="71"/>
      <c r="C270" s="35"/>
      <c r="D270" s="35"/>
      <c r="E270" s="35"/>
      <c r="F270" s="9" t="s">
        <v>628</v>
      </c>
      <c r="G270" s="9" t="s">
        <v>629</v>
      </c>
      <c r="H270" s="10">
        <v>500</v>
      </c>
      <c r="I270" s="9" t="s">
        <v>481</v>
      </c>
      <c r="J270" s="10">
        <f>VLOOKUP(F270,F:I,4,0)=I270</f>
      </c>
      <c r="K270" s="1"/>
      <c r="L270" s="1"/>
      <c r="M270" s="19">
        <f>CHAR(10)&amp;"'"&amp;F270&amp;"' =&gt; ("&amp;IF(I270="字符串","string)",IF(I270="数值","int)",IF(I270="布尔","bool)","int)time")))&amp;" _, //"&amp;G270&amp;", 如: "&amp;H270</f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x14ac:dyDescent="0.25" r="271" customHeight="1" ht="18">
      <c r="A271" s="70"/>
      <c r="B271" s="71"/>
      <c r="C271" s="35"/>
      <c r="D271" s="35"/>
      <c r="E271" s="35"/>
      <c r="F271" s="9" t="s">
        <v>632</v>
      </c>
      <c r="G271" s="9" t="s">
        <v>633</v>
      </c>
      <c r="H271" s="10">
        <v>1700</v>
      </c>
      <c r="I271" s="9" t="s">
        <v>481</v>
      </c>
      <c r="J271" s="10">
        <f>VLOOKUP(F271,F:I,4,0)=I271</f>
      </c>
      <c r="K271" s="1"/>
      <c r="L271" s="1"/>
      <c r="M271" s="19">
        <f>CHAR(10)&amp;"'"&amp;F271&amp;"' =&gt; ("&amp;IF(I271="字符串","string)",IF(I271="数值","int)",IF(I271="布尔","bool)","int)time")))&amp;" _, //"&amp;G271&amp;", 如: "&amp;H271</f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x14ac:dyDescent="0.25" r="272" customHeight="1" ht="18">
      <c r="A272" s="70"/>
      <c r="B272" s="71"/>
      <c r="C272" s="35"/>
      <c r="D272" s="35"/>
      <c r="E272" s="35"/>
      <c r="F272" s="9" t="s">
        <v>634</v>
      </c>
      <c r="G272" s="9" t="s">
        <v>635</v>
      </c>
      <c r="H272" s="10" t="s">
        <v>1043</v>
      </c>
      <c r="I272" s="9" t="s">
        <v>460</v>
      </c>
      <c r="J272" s="10">
        <f>VLOOKUP(F272,F:I,4,0)=I272</f>
      </c>
      <c r="K272" s="1"/>
      <c r="L272" s="1"/>
      <c r="M272" s="19">
        <f>CHAR(10)&amp;"'"&amp;F272&amp;"' =&gt; ("&amp;IF(I272="字符串","string)",IF(I272="数值","int)",IF(I272="布尔","bool)","int)time")))&amp;" _, //"&amp;G272&amp;", 如: "&amp;H272</f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x14ac:dyDescent="0.25" r="273" customHeight="1" ht="18">
      <c r="A273" s="70"/>
      <c r="B273" s="71"/>
      <c r="C273" s="34" t="s">
        <v>1044</v>
      </c>
      <c r="D273" s="34" t="s">
        <v>1045</v>
      </c>
      <c r="E273" s="34" t="s">
        <v>1046</v>
      </c>
      <c r="F273" s="9" t="s">
        <v>463</v>
      </c>
      <c r="G273" s="9" t="s">
        <v>1015</v>
      </c>
      <c r="H273" s="10">
        <v>1</v>
      </c>
      <c r="I273" s="9" t="s">
        <v>460</v>
      </c>
      <c r="J273" s="10">
        <f>VLOOKUP(F273,F:I,4,0)=I273</f>
      </c>
      <c r="K273" s="1"/>
      <c r="L273" s="1"/>
      <c r="M273" s="19">
        <f>CHAR(10)&amp;"'"&amp;F273&amp;"' =&gt; ("&amp;IF(I273="字符串","string)",IF(I273="数值","int)",IF(I273="布尔","bool)","int)time")))&amp;" _, //"&amp;G273&amp;", 如: "&amp;H273</f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x14ac:dyDescent="0.25" r="274" customHeight="1" ht="18">
      <c r="A274" s="70"/>
      <c r="B274" s="71"/>
      <c r="C274" s="35"/>
      <c r="D274" s="35"/>
      <c r="E274" s="35"/>
      <c r="F274" s="9" t="s">
        <v>1016</v>
      </c>
      <c r="G274" s="9" t="s">
        <v>1017</v>
      </c>
      <c r="H274" s="10" t="s">
        <v>1036</v>
      </c>
      <c r="I274" s="9" t="s">
        <v>460</v>
      </c>
      <c r="J274" s="10">
        <f>VLOOKUP(F274,F:I,4,0)=I274</f>
      </c>
      <c r="K274" s="1"/>
      <c r="L274" s="1"/>
      <c r="M274" s="19">
        <f>CHAR(10)&amp;"'"&amp;F274&amp;"' =&gt; ("&amp;IF(I274="字符串","string)",IF(I274="数值","int)",IF(I274="布尔","bool)","int)time")))&amp;" _, //"&amp;G274&amp;", 如: "&amp;H274</f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x14ac:dyDescent="0.25" r="275" customHeight="1" ht="18">
      <c r="A275" s="70"/>
      <c r="B275" s="71"/>
      <c r="C275" s="35"/>
      <c r="D275" s="35"/>
      <c r="E275" s="35"/>
      <c r="F275" s="9" t="s">
        <v>1047</v>
      </c>
      <c r="G275" s="9" t="s">
        <v>1048</v>
      </c>
      <c r="H275" s="10" t="s">
        <v>1049</v>
      </c>
      <c r="I275" s="9" t="s">
        <v>460</v>
      </c>
      <c r="J275" s="10">
        <f>VLOOKUP(F275,F:I,4,0)=I275</f>
      </c>
      <c r="K275" s="1"/>
      <c r="L275" s="1"/>
      <c r="M275" s="19">
        <f>CHAR(10)&amp;"'"&amp;F275&amp;"' =&gt; ("&amp;IF(I275="字符串","string)",IF(I275="数值","int)",IF(I275="布尔","bool)","int)time")))&amp;" _, //"&amp;G275&amp;", 如: "&amp;H275</f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x14ac:dyDescent="0.25" r="276" customHeight="1" ht="18">
      <c r="A276" s="70"/>
      <c r="B276" s="71"/>
      <c r="C276" s="35"/>
      <c r="D276" s="35"/>
      <c r="E276" s="35"/>
      <c r="F276" s="9" t="s">
        <v>632</v>
      </c>
      <c r="G276" s="9" t="s">
        <v>633</v>
      </c>
      <c r="H276" s="10">
        <v>2</v>
      </c>
      <c r="I276" s="9" t="s">
        <v>481</v>
      </c>
      <c r="J276" s="10">
        <f>VLOOKUP(F276,F:I,4,0)=I276</f>
      </c>
      <c r="K276" s="1"/>
      <c r="L276" s="1"/>
      <c r="M276" s="19">
        <f>CHAR(10)&amp;"'"&amp;F276&amp;"' =&gt; ("&amp;IF(I276="字符串","string)",IF(I276="数值","int)",IF(I276="布尔","bool)","int)time")))&amp;" _, //"&amp;G276&amp;", 如: "&amp;H276</f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x14ac:dyDescent="0.25" r="277" customHeight="1" ht="18">
      <c r="A277" s="70"/>
      <c r="B277" s="71"/>
      <c r="C277" s="34" t="s">
        <v>1050</v>
      </c>
      <c r="D277" s="34" t="s">
        <v>1051</v>
      </c>
      <c r="E277" s="34" t="s">
        <v>1052</v>
      </c>
      <c r="F277" s="9" t="s">
        <v>463</v>
      </c>
      <c r="G277" s="9" t="s">
        <v>1015</v>
      </c>
      <c r="H277" s="10">
        <v>1</v>
      </c>
      <c r="I277" s="9" t="s">
        <v>460</v>
      </c>
      <c r="J277" s="10">
        <f>VLOOKUP(F277,F:I,4,0)=I277</f>
      </c>
      <c r="K277" s="1"/>
      <c r="L277" s="1"/>
      <c r="M277" s="19">
        <f>CHAR(10)&amp;"'"&amp;F277&amp;"' =&gt; ("&amp;IF(I277="字符串","string)",IF(I277="数值","int)",IF(I277="布尔","bool)","int)time")))&amp;" _, //"&amp;G277&amp;", 如: "&amp;H277</f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x14ac:dyDescent="0.25" r="278" customHeight="1" ht="18">
      <c r="A278" s="70"/>
      <c r="B278" s="71"/>
      <c r="C278" s="35"/>
      <c r="D278" s="35"/>
      <c r="E278" s="35"/>
      <c r="F278" s="9" t="s">
        <v>1016</v>
      </c>
      <c r="G278" s="9" t="s">
        <v>1017</v>
      </c>
      <c r="H278" s="10" t="s">
        <v>1036</v>
      </c>
      <c r="I278" s="9" t="s">
        <v>460</v>
      </c>
      <c r="J278" s="10">
        <f>VLOOKUP(F278,F:I,4,0)=I278</f>
      </c>
      <c r="K278" s="1"/>
      <c r="L278" s="1"/>
      <c r="M278" s="19">
        <f>CHAR(10)&amp;"'"&amp;F278&amp;"' =&gt; ("&amp;IF(I278="字符串","string)",IF(I278="数值","int)",IF(I278="布尔","bool)","int)time")))&amp;" _, //"&amp;G278&amp;", 如: "&amp;H278</f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x14ac:dyDescent="0.25" r="279" customHeight="1" ht="18">
      <c r="A279" s="70"/>
      <c r="B279" s="71"/>
      <c r="C279" s="35"/>
      <c r="D279" s="35"/>
      <c r="E279" s="35"/>
      <c r="F279" s="9" t="s">
        <v>1018</v>
      </c>
      <c r="G279" s="9" t="s">
        <v>1019</v>
      </c>
      <c r="H279" s="10">
        <v>2</v>
      </c>
      <c r="I279" s="9" t="s">
        <v>481</v>
      </c>
      <c r="J279" s="10">
        <f>VLOOKUP(F279,F:I,4,0)=I279</f>
      </c>
      <c r="K279" s="1"/>
      <c r="L279" s="1"/>
      <c r="M279" s="19">
        <f>CHAR(10)&amp;"'"&amp;F279&amp;"' =&gt; ("&amp;IF(I279="字符串","string)",IF(I279="数值","int)",IF(I279="布尔","bool)","int)time")))&amp;" _, //"&amp;G279&amp;", 如: "&amp;H279</f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x14ac:dyDescent="0.25" r="280" customHeight="1" ht="18">
      <c r="A280" s="70"/>
      <c r="B280" s="71"/>
      <c r="C280" s="35"/>
      <c r="D280" s="35"/>
      <c r="E280" s="35"/>
      <c r="F280" s="9" t="s">
        <v>628</v>
      </c>
      <c r="G280" s="9" t="s">
        <v>629</v>
      </c>
      <c r="H280" s="10">
        <v>-2000</v>
      </c>
      <c r="I280" s="9" t="s">
        <v>481</v>
      </c>
      <c r="J280" s="10">
        <f>VLOOKUP(F280,F:I,4,0)=I280</f>
      </c>
      <c r="K280" s="1"/>
      <c r="L280" s="1"/>
      <c r="M280" s="19">
        <f>CHAR(10)&amp;"'"&amp;F280&amp;"' =&gt; ("&amp;IF(I280="字符串","string)",IF(I280="数值","int)",IF(I280="布尔","bool)","int)time")))&amp;" _, //"&amp;G280&amp;", 如: "&amp;H280</f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x14ac:dyDescent="0.25" r="281" customHeight="1" ht="18">
      <c r="A281" s="70"/>
      <c r="B281" s="71"/>
      <c r="C281" s="35"/>
      <c r="D281" s="35"/>
      <c r="E281" s="35"/>
      <c r="F281" s="9" t="s">
        <v>632</v>
      </c>
      <c r="G281" s="9" t="s">
        <v>633</v>
      </c>
      <c r="H281" s="10">
        <v>1200</v>
      </c>
      <c r="I281" s="9" t="s">
        <v>481</v>
      </c>
      <c r="J281" s="10">
        <f>VLOOKUP(F281,F:I,4,0)=I281</f>
      </c>
      <c r="K281" s="1"/>
      <c r="L281" s="1"/>
      <c r="M281" s="19">
        <f>CHAR(10)&amp;"'"&amp;F281&amp;"' =&gt; ("&amp;IF(I281="字符串","string)",IF(I281="数值","int)",IF(I281="布尔","bool)","int)time")))&amp;" _, //"&amp;G281&amp;", 如: "&amp;H281</f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x14ac:dyDescent="0.25" r="282" customHeight="1" ht="18">
      <c r="A282" s="70"/>
      <c r="B282" s="71"/>
      <c r="C282" s="35"/>
      <c r="D282" s="35"/>
      <c r="E282" s="35"/>
      <c r="F282" s="9" t="s">
        <v>634</v>
      </c>
      <c r="G282" s="9" t="s">
        <v>635</v>
      </c>
      <c r="H282" s="10" t="s">
        <v>1053</v>
      </c>
      <c r="I282" s="9" t="s">
        <v>460</v>
      </c>
      <c r="J282" s="10">
        <f>VLOOKUP(F282,F:I,4,0)=I282</f>
      </c>
      <c r="K282" s="1"/>
      <c r="L282" s="1"/>
      <c r="M282" s="19">
        <f>CHAR(10)&amp;"'"&amp;F282&amp;"' =&gt; ("&amp;IF(I282="字符串","string)",IF(I282="数值","int)",IF(I282="布尔","bool)","int)time")))&amp;" _, //"&amp;G282&amp;", 如: "&amp;H282</f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x14ac:dyDescent="0.25" r="283" customHeight="1" ht="18">
      <c r="A283" s="70"/>
      <c r="B283" s="71"/>
      <c r="C283" s="34" t="s">
        <v>1054</v>
      </c>
      <c r="D283" s="34" t="s">
        <v>1055</v>
      </c>
      <c r="E283" s="34" t="s">
        <v>1056</v>
      </c>
      <c r="F283" s="9" t="s">
        <v>463</v>
      </c>
      <c r="G283" s="9" t="s">
        <v>1015</v>
      </c>
      <c r="H283" s="10">
        <v>1</v>
      </c>
      <c r="I283" s="9" t="s">
        <v>460</v>
      </c>
      <c r="J283" s="10">
        <f>VLOOKUP(F283,F:I,4,0)=I283</f>
      </c>
      <c r="K283" s="1"/>
      <c r="L283" s="1"/>
      <c r="M283" s="19">
        <f>CHAR(10)&amp;"'"&amp;F283&amp;"' =&gt; ("&amp;IF(I283="字符串","string)",IF(I283="数值","int)",IF(I283="布尔","bool)","int)time")))&amp;" _, //"&amp;G283&amp;", 如: "&amp;H283</f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x14ac:dyDescent="0.25" r="284" customHeight="1" ht="18">
      <c r="A284" s="70"/>
      <c r="B284" s="71"/>
      <c r="C284" s="35"/>
      <c r="D284" s="35"/>
      <c r="E284" s="35"/>
      <c r="F284" s="9" t="s">
        <v>1016</v>
      </c>
      <c r="G284" s="9" t="s">
        <v>1017</v>
      </c>
      <c r="H284" s="10" t="s">
        <v>1036</v>
      </c>
      <c r="I284" s="9" t="s">
        <v>460</v>
      </c>
      <c r="J284" s="10">
        <f>VLOOKUP(F284,F:I,4,0)=I284</f>
      </c>
      <c r="K284" s="1"/>
      <c r="L284" s="1"/>
      <c r="M284" s="19">
        <f>CHAR(10)&amp;"'"&amp;F284&amp;"' =&gt; ("&amp;IF(I284="字符串","string)",IF(I284="数值","int)",IF(I284="布尔","bool)","int)time")))&amp;" _, //"&amp;G284&amp;", 如: "&amp;H284</f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x14ac:dyDescent="0.25" r="285" customHeight="1" ht="18">
      <c r="A285" s="70"/>
      <c r="B285" s="71"/>
      <c r="C285" s="35"/>
      <c r="D285" s="35"/>
      <c r="E285" s="35"/>
      <c r="F285" s="9" t="s">
        <v>1057</v>
      </c>
      <c r="G285" s="9" t="s">
        <v>1058</v>
      </c>
      <c r="H285" s="10" t="s">
        <v>1059</v>
      </c>
      <c r="I285" s="9" t="s">
        <v>460</v>
      </c>
      <c r="J285" s="10">
        <f>VLOOKUP(F285,F:I,4,0)=I285</f>
      </c>
      <c r="K285" s="1"/>
      <c r="L285" s="1"/>
      <c r="M285" s="19">
        <f>CHAR(10)&amp;"'"&amp;F285&amp;"' =&gt; ("&amp;IF(I285="字符串","string)",IF(I285="数值","int)",IF(I285="布尔","bool)","int)time")))&amp;" _, //"&amp;G285&amp;", 如: "&amp;H285</f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x14ac:dyDescent="0.25" r="286" customHeight="1" ht="18">
      <c r="A286" s="70"/>
      <c r="B286" s="71"/>
      <c r="C286" s="35"/>
      <c r="D286" s="35"/>
      <c r="E286" s="35"/>
      <c r="F286" s="9" t="s">
        <v>1060</v>
      </c>
      <c r="G286" s="9" t="s">
        <v>1061</v>
      </c>
      <c r="H286" s="10" t="s">
        <v>1062</v>
      </c>
      <c r="I286" s="9" t="s">
        <v>460</v>
      </c>
      <c r="J286" s="10">
        <f>VLOOKUP(F286,F:I,4,0)=I286</f>
      </c>
      <c r="K286" s="1"/>
      <c r="L286" s="1"/>
      <c r="M286" s="19">
        <f>CHAR(10)&amp;"'"&amp;F286&amp;"' =&gt; ("&amp;IF(I286="字符串","string)",IF(I286="数值","int)",IF(I286="布尔","bool)","int)time")))&amp;" _, //"&amp;G286&amp;", 如: "&amp;H286</f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x14ac:dyDescent="0.25" r="287" customHeight="1" ht="18">
      <c r="A287" s="70"/>
      <c r="B287" s="71"/>
      <c r="C287" s="35"/>
      <c r="D287" s="35"/>
      <c r="E287" s="35"/>
      <c r="F287" s="9" t="s">
        <v>632</v>
      </c>
      <c r="G287" s="9" t="s">
        <v>633</v>
      </c>
      <c r="H287" s="10">
        <v>1200</v>
      </c>
      <c r="I287" s="9" t="s">
        <v>481</v>
      </c>
      <c r="J287" s="10">
        <f>VLOOKUP(F287,F:I,4,0)=I287</f>
      </c>
      <c r="K287" s="1"/>
      <c r="L287" s="1"/>
      <c r="M287" s="19">
        <f>CHAR(10)&amp;"'"&amp;F287&amp;"' =&gt; ("&amp;IF(I287="字符串","string)",IF(I287="数值","int)",IF(I287="布尔","bool)","int)time")))&amp;" _, //"&amp;G287&amp;", 如: "&amp;H287</f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x14ac:dyDescent="0.25" r="288" customHeight="1" ht="18">
      <c r="A288" s="70"/>
      <c r="B288" s="71"/>
      <c r="C288" s="34" t="s">
        <v>1063</v>
      </c>
      <c r="D288" s="34" t="s">
        <v>99</v>
      </c>
      <c r="E288" s="34" t="s">
        <v>1064</v>
      </c>
      <c r="F288" s="9" t="s">
        <v>463</v>
      </c>
      <c r="G288" s="9" t="s">
        <v>1065</v>
      </c>
      <c r="H288" s="10">
        <v>223</v>
      </c>
      <c r="I288" s="9" t="s">
        <v>460</v>
      </c>
      <c r="J288" s="69" t="s">
        <v>1066</v>
      </c>
      <c r="K288" s="35"/>
      <c r="L288" s="1"/>
      <c r="M288" s="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x14ac:dyDescent="0.25" r="289" customHeight="1" ht="18">
      <c r="A289" s="70"/>
      <c r="B289" s="71"/>
      <c r="C289" s="35"/>
      <c r="D289" s="35"/>
      <c r="E289" s="35"/>
      <c r="F289" s="9" t="s">
        <v>1067</v>
      </c>
      <c r="G289" s="9" t="s">
        <v>1068</v>
      </c>
      <c r="H289" s="10">
        <v>2</v>
      </c>
      <c r="I289" s="9" t="s">
        <v>481</v>
      </c>
      <c r="J289" s="69" t="s">
        <v>1066</v>
      </c>
      <c r="K289" s="35"/>
      <c r="L289" s="1"/>
      <c r="M289" s="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x14ac:dyDescent="0.25" r="290" customHeight="1" ht="18">
      <c r="A290" s="70"/>
      <c r="B290" s="71"/>
      <c r="C290" s="35"/>
      <c r="D290" s="35"/>
      <c r="E290" s="35"/>
      <c r="F290" s="9" t="s">
        <v>1016</v>
      </c>
      <c r="G290" s="9" t="s">
        <v>1069</v>
      </c>
      <c r="H290" s="10" t="s">
        <v>1070</v>
      </c>
      <c r="I290" s="9" t="s">
        <v>460</v>
      </c>
      <c r="J290" s="69" t="s">
        <v>1066</v>
      </c>
      <c r="K290" s="35" t="s">
        <v>1071</v>
      </c>
      <c r="L290" s="1"/>
      <c r="M290" s="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x14ac:dyDescent="0.25" r="291" customHeight="1" ht="18">
      <c r="A291" s="70"/>
      <c r="B291" s="71"/>
      <c r="C291" s="35"/>
      <c r="D291" s="35"/>
      <c r="E291" s="35"/>
      <c r="F291" s="9" t="s">
        <v>1072</v>
      </c>
      <c r="G291" s="9" t="s">
        <v>1073</v>
      </c>
      <c r="H291" s="10">
        <v>5</v>
      </c>
      <c r="I291" s="9" t="s">
        <v>481</v>
      </c>
      <c r="J291" s="69" t="s">
        <v>1066</v>
      </c>
      <c r="K291" s="35"/>
      <c r="L291" s="1"/>
      <c r="M291" s="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x14ac:dyDescent="0.25" r="292" customHeight="1" ht="18">
      <c r="A292" s="70"/>
      <c r="B292" s="71"/>
      <c r="C292" s="35"/>
      <c r="D292" s="35"/>
      <c r="E292" s="35"/>
      <c r="F292" s="9" t="s">
        <v>916</v>
      </c>
      <c r="G292" s="9" t="s">
        <v>1074</v>
      </c>
      <c r="H292" s="10" t="s">
        <v>1075</v>
      </c>
      <c r="I292" s="9" t="s">
        <v>460</v>
      </c>
      <c r="J292" s="69" t="s">
        <v>1066</v>
      </c>
      <c r="K292" s="35"/>
      <c r="L292" s="1"/>
      <c r="M292" s="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x14ac:dyDescent="0.25" r="293" customHeight="1" ht="18">
      <c r="A293" s="70"/>
      <c r="B293" s="71"/>
      <c r="C293" s="35"/>
      <c r="D293" s="35"/>
      <c r="E293" s="35"/>
      <c r="F293" s="9" t="s">
        <v>1076</v>
      </c>
      <c r="G293" s="9" t="s">
        <v>1077</v>
      </c>
      <c r="H293" s="10" t="s">
        <v>1078</v>
      </c>
      <c r="I293" s="9" t="s">
        <v>460</v>
      </c>
      <c r="J293" s="69" t="s">
        <v>1066</v>
      </c>
      <c r="K293" s="35" t="s">
        <v>1079</v>
      </c>
      <c r="L293" s="1"/>
      <c r="M293" s="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x14ac:dyDescent="0.25" r="294" customHeight="1" ht="18">
      <c r="A294" s="70"/>
      <c r="B294" s="71"/>
      <c r="C294" s="35"/>
      <c r="D294" s="35"/>
      <c r="E294" s="35"/>
      <c r="F294" s="9" t="s">
        <v>630</v>
      </c>
      <c r="G294" s="9" t="s">
        <v>1080</v>
      </c>
      <c r="H294" s="10">
        <v>600</v>
      </c>
      <c r="I294" s="9" t="s">
        <v>481</v>
      </c>
      <c r="J294" s="69" t="s">
        <v>1066</v>
      </c>
      <c r="K294" s="35"/>
      <c r="L294" s="1"/>
      <c r="M294" s="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x14ac:dyDescent="0.25" r="295" customHeight="1" ht="18">
      <c r="A295" s="70"/>
      <c r="B295" s="71"/>
      <c r="C295" s="35"/>
      <c r="D295" s="35"/>
      <c r="E295" s="35"/>
      <c r="F295" s="9" t="s">
        <v>628</v>
      </c>
      <c r="G295" s="9" t="s">
        <v>1081</v>
      </c>
      <c r="H295" s="10">
        <v>-100</v>
      </c>
      <c r="I295" s="9" t="s">
        <v>481</v>
      </c>
      <c r="J295" s="69" t="s">
        <v>1066</v>
      </c>
      <c r="K295" s="35"/>
      <c r="L295" s="1"/>
      <c r="M295" s="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x14ac:dyDescent="0.25" r="296" customHeight="1" ht="18">
      <c r="A296" s="70"/>
      <c r="B296" s="71"/>
      <c r="C296" s="35"/>
      <c r="D296" s="35"/>
      <c r="E296" s="35"/>
      <c r="F296" s="9" t="s">
        <v>632</v>
      </c>
      <c r="G296" s="9" t="s">
        <v>1082</v>
      </c>
      <c r="H296" s="10">
        <v>500</v>
      </c>
      <c r="I296" s="9" t="s">
        <v>481</v>
      </c>
      <c r="J296" s="69" t="s">
        <v>1066</v>
      </c>
      <c r="K296" s="35"/>
      <c r="L296" s="1"/>
      <c r="M296" s="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x14ac:dyDescent="0.25" r="297" customHeight="1" ht="18">
      <c r="A297" s="97"/>
      <c r="B297" s="81"/>
      <c r="C297" s="35"/>
      <c r="D297" s="35"/>
      <c r="E297" s="35"/>
      <c r="F297" s="9" t="s">
        <v>1083</v>
      </c>
      <c r="G297" s="9" t="s">
        <v>1084</v>
      </c>
      <c r="H297" s="10" t="s">
        <v>1085</v>
      </c>
      <c r="I297" s="9" t="s">
        <v>460</v>
      </c>
      <c r="J297" s="69" t="s">
        <v>1066</v>
      </c>
      <c r="K297" s="35" t="s">
        <v>1086</v>
      </c>
      <c r="L297" s="1"/>
      <c r="M297" s="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x14ac:dyDescent="0.25" r="298" customHeight="1" ht="18">
      <c r="A298" s="34" t="s">
        <v>1087</v>
      </c>
      <c r="B298" s="66" t="s">
        <v>1088</v>
      </c>
      <c r="C298" s="34" t="s">
        <v>1089</v>
      </c>
      <c r="D298" s="34" t="s">
        <v>1087</v>
      </c>
      <c r="E298" s="34" t="s">
        <v>1090</v>
      </c>
      <c r="F298" s="9" t="s">
        <v>1091</v>
      </c>
      <c r="G298" s="9" t="s">
        <v>1092</v>
      </c>
      <c r="H298" s="10" t="s">
        <v>1093</v>
      </c>
      <c r="I298" s="9" t="s">
        <v>460</v>
      </c>
      <c r="J298" s="10">
        <f>VLOOKUP(F298,F:I,4,0)=I298</f>
      </c>
      <c r="K298" s="1"/>
      <c r="L298" s="1"/>
      <c r="M298" s="19">
        <f>CHAR(10)&amp;"'"&amp;F298&amp;"' =&gt; ("&amp;IF(I298="字符串","string)",IF(I298="数值","int)",IF(I298="布尔","bool)","int)time")))&amp;" _, //"&amp;G298&amp;", 如: "&amp;H298</f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x14ac:dyDescent="0.25" r="299" customHeight="1" ht="18">
      <c r="A299" s="35"/>
      <c r="B299" s="71"/>
      <c r="C299" s="35"/>
      <c r="D299" s="35"/>
      <c r="E299" s="35"/>
      <c r="F299" s="9" t="s">
        <v>1094</v>
      </c>
      <c r="G299" s="9" t="s">
        <v>1095</v>
      </c>
      <c r="H299" s="10" t="s">
        <v>1096</v>
      </c>
      <c r="I299" s="9" t="s">
        <v>460</v>
      </c>
      <c r="J299" s="10">
        <f>VLOOKUP(F299,F:I,4,0)=I299</f>
      </c>
      <c r="K299" s="1"/>
      <c r="L299" s="1"/>
      <c r="M299" s="19">
        <f>CHAR(10)&amp;"'"&amp;F299&amp;"' =&gt; ("&amp;IF(I299="字符串","string)",IF(I299="数值","int)",IF(I299="布尔","bool)","int)time")))&amp;" _, //"&amp;G299&amp;", 如: "&amp;H299</f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x14ac:dyDescent="0.25" r="300" customHeight="1" ht="18">
      <c r="A300" s="35"/>
      <c r="B300" s="71"/>
      <c r="C300" s="35"/>
      <c r="D300" s="35"/>
      <c r="E300" s="35"/>
      <c r="F300" s="9" t="s">
        <v>1097</v>
      </c>
      <c r="G300" s="9" t="s">
        <v>1098</v>
      </c>
      <c r="H300" s="10" t="s">
        <v>1099</v>
      </c>
      <c r="I300" s="9" t="s">
        <v>460</v>
      </c>
      <c r="J300" s="10">
        <f>VLOOKUP(F300,F:I,4,0)=I300</f>
      </c>
      <c r="K300" s="1"/>
      <c r="L300" s="1"/>
      <c r="M300" s="19">
        <f>CHAR(10)&amp;"'"&amp;F300&amp;"' =&gt; ("&amp;IF(I300="字符串","string)",IF(I300="数值","int)",IF(I300="布尔","bool)","int)time")))&amp;" _, //"&amp;G300&amp;", 如: "&amp;H300</f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x14ac:dyDescent="0.25" r="301" customHeight="1" ht="18">
      <c r="A301" s="35"/>
      <c r="B301" s="71"/>
      <c r="C301" s="35"/>
      <c r="D301" s="35"/>
      <c r="E301" s="35"/>
      <c r="F301" s="9" t="s">
        <v>1100</v>
      </c>
      <c r="G301" s="9" t="s">
        <v>1101</v>
      </c>
      <c r="H301" s="10">
        <v>12</v>
      </c>
      <c r="I301" s="9" t="s">
        <v>481</v>
      </c>
      <c r="J301" s="10">
        <f>VLOOKUP(F301,F:I,4,0)=I301</f>
      </c>
      <c r="K301" s="1"/>
      <c r="L301" s="1"/>
      <c r="M301" s="19">
        <f>CHAR(10)&amp;"'"&amp;F301&amp;"' =&gt; ("&amp;IF(I301="字符串","string)",IF(I301="数值","int)",IF(I301="布尔","bool)","int)time")))&amp;" _, //"&amp;G301&amp;", 如: "&amp;H301</f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x14ac:dyDescent="0.25" r="302" customHeight="1" ht="18">
      <c r="A302" s="35"/>
      <c r="B302" s="71"/>
      <c r="C302" s="35"/>
      <c r="D302" s="35"/>
      <c r="E302" s="35"/>
      <c r="F302" s="9" t="s">
        <v>1102</v>
      </c>
      <c r="G302" s="9" t="s">
        <v>1103</v>
      </c>
      <c r="H302" s="10" t="s">
        <v>1104</v>
      </c>
      <c r="I302" s="9" t="s">
        <v>704</v>
      </c>
      <c r="J302" s="10">
        <f>VLOOKUP(F302,F:I,4,0)=I302</f>
      </c>
      <c r="K302" s="1"/>
      <c r="L302" s="1"/>
      <c r="M302" s="19">
        <f>CHAR(10)&amp;"'"&amp;F302&amp;"' =&gt; ("&amp;IF(I302="字符串","string)",IF(I302="数值","int)",IF(I302="布尔","bool)","int)time")))&amp;" _, //"&amp;G302&amp;", 如: "&amp;H302</f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x14ac:dyDescent="0.25" r="303" customHeight="1" ht="18">
      <c r="A303" s="35"/>
      <c r="B303" s="71"/>
      <c r="C303" s="57"/>
      <c r="D303" s="57"/>
      <c r="E303" s="57"/>
      <c r="F303" s="9" t="s">
        <v>634</v>
      </c>
      <c r="G303" s="9" t="s">
        <v>635</v>
      </c>
      <c r="H303" s="10" t="s">
        <v>1105</v>
      </c>
      <c r="I303" s="9" t="s">
        <v>460</v>
      </c>
      <c r="J303" s="10">
        <f>VLOOKUP(F303,F:I,4,0)=I303</f>
      </c>
      <c r="K303" s="1"/>
      <c r="L303" s="1"/>
      <c r="M303" s="19">
        <f>CHAR(10)&amp;"'"&amp;F303&amp;"' =&gt; ("&amp;IF(I303="字符串","string)",IF(I303="数值","int)",IF(I303="布尔","bool)","int)time")))&amp;" _, //"&amp;G303&amp;", 如: "&amp;H303</f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x14ac:dyDescent="0.25" r="304" customHeight="1" ht="18">
      <c r="A304" s="115" t="s">
        <v>1106</v>
      </c>
      <c r="B304" s="34" t="s">
        <v>1107</v>
      </c>
      <c r="C304" s="96" t="s">
        <v>1108</v>
      </c>
      <c r="D304" s="96" t="s">
        <v>1109</v>
      </c>
      <c r="E304" s="34" t="s">
        <v>1110</v>
      </c>
      <c r="F304" s="32" t="s">
        <v>452</v>
      </c>
      <c r="G304" s="9" t="s">
        <v>1111</v>
      </c>
      <c r="H304" s="22" t="s">
        <v>1112</v>
      </c>
      <c r="I304" s="9" t="s">
        <v>460</v>
      </c>
      <c r="J304" s="10">
        <f>VLOOKUP(F304,F:I,4,0)=I304</f>
      </c>
      <c r="K304" s="1"/>
      <c r="L304" s="1"/>
      <c r="M304" s="19">
        <f>CHAR(10)&amp;"'"&amp;F304&amp;"' =&gt; ("&amp;IF(I304="字符串","string)",IF(I304="数值","int)",IF(I304="布尔","bool)","int)time")))&amp;" _, //"&amp;G304&amp;", 如: "&amp;H304</f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x14ac:dyDescent="0.25" r="305" customHeight="1" ht="18">
      <c r="A305" s="2"/>
      <c r="B305" s="35"/>
      <c r="C305" s="35"/>
      <c r="D305" s="35"/>
      <c r="E305" s="35"/>
      <c r="F305" s="21" t="s">
        <v>1113</v>
      </c>
      <c r="G305" s="9" t="s">
        <v>15</v>
      </c>
      <c r="H305" s="10">
        <v>0</v>
      </c>
      <c r="I305" s="9" t="s">
        <v>460</v>
      </c>
      <c r="J305" s="10">
        <f>VLOOKUP(F305,F:I,4,0)=I305</f>
      </c>
      <c r="K305" s="1"/>
      <c r="L305" s="1"/>
      <c r="M305" s="19">
        <f>CHAR(10)&amp;"'"&amp;F305&amp;"' =&gt; ("&amp;IF(I305="字符串","string)",IF(I305="数值","int)",IF(I305="布尔","bool)","int)time")))&amp;" _, //"&amp;G305&amp;", 如: "&amp;H305</f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x14ac:dyDescent="0.25" r="306" customHeight="1" ht="18">
      <c r="A306" s="2"/>
      <c r="B306" s="35"/>
      <c r="C306" s="35"/>
      <c r="D306" s="35"/>
      <c r="E306" s="35"/>
      <c r="F306" s="21" t="s">
        <v>1114</v>
      </c>
      <c r="G306" s="9" t="s">
        <v>1115</v>
      </c>
      <c r="H306" s="10">
        <v>1</v>
      </c>
      <c r="I306" s="9" t="s">
        <v>460</v>
      </c>
      <c r="J306" s="10">
        <f>VLOOKUP(F306,F:I,4,0)=I306</f>
      </c>
      <c r="K306" s="1"/>
      <c r="L306" s="1"/>
      <c r="M306" s="19">
        <f>CHAR(10)&amp;"'"&amp;F306&amp;"' =&gt; ("&amp;IF(I306="字符串","string)",IF(I306="数值","int)",IF(I306="布尔","bool)","int)time")))&amp;" _, //"&amp;G306&amp;", 如: "&amp;H306</f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x14ac:dyDescent="0.25" r="307" customHeight="1" ht="18">
      <c r="A307" s="2"/>
      <c r="B307" s="35"/>
      <c r="C307" s="35"/>
      <c r="D307" s="35"/>
      <c r="E307" s="35"/>
      <c r="F307" s="32" t="s">
        <v>1116</v>
      </c>
      <c r="G307" s="30" t="s">
        <v>1117</v>
      </c>
      <c r="H307" s="10">
        <v>1</v>
      </c>
      <c r="I307" s="9" t="s">
        <v>460</v>
      </c>
      <c r="J307" s="10">
        <f>VLOOKUP(F307,F:I,4,0)=I307</f>
      </c>
      <c r="K307" s="1"/>
      <c r="L307" s="1"/>
      <c r="M307" s="19">
        <f>CHAR(10)&amp;"'"&amp;F307&amp;"' =&gt; ("&amp;IF(I307="字符串","string)",IF(I307="数值","int)",IF(I307="布尔","bool)","int)time")))&amp;" _, //"&amp;G307&amp;", 如: "&amp;H307</f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x14ac:dyDescent="0.25" r="308" customHeight="1" ht="18">
      <c r="A308" s="2"/>
      <c r="B308" s="35"/>
      <c r="C308" s="35"/>
      <c r="D308" s="35"/>
      <c r="E308" s="35"/>
      <c r="F308" s="32" t="s">
        <v>1118</v>
      </c>
      <c r="G308" s="9" t="s">
        <v>1119</v>
      </c>
      <c r="H308" s="22" t="s">
        <v>1120</v>
      </c>
      <c r="I308" s="9" t="s">
        <v>460</v>
      </c>
      <c r="J308" s="10">
        <f>VLOOKUP(F308,F:I,4,0)=I308</f>
      </c>
      <c r="K308" s="1"/>
      <c r="L308" s="1"/>
      <c r="M308" s="19">
        <f>CHAR(10)&amp;"'"&amp;F308&amp;"' =&gt; ("&amp;IF(I308="字符串","string)",IF(I308="数值","int)",IF(I308="布尔","bool)","int)time")))&amp;" _, //"&amp;G308&amp;", 如: "&amp;H308</f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x14ac:dyDescent="0.25" r="309" customHeight="1" ht="18">
      <c r="A309" s="2"/>
      <c r="B309" s="35"/>
      <c r="C309" s="35"/>
      <c r="D309" s="35"/>
      <c r="E309" s="35"/>
      <c r="F309" s="32" t="s">
        <v>1121</v>
      </c>
      <c r="G309" s="9" t="s">
        <v>1122</v>
      </c>
      <c r="H309" s="116" t="s">
        <v>1123</v>
      </c>
      <c r="I309" s="9" t="s">
        <v>481</v>
      </c>
      <c r="J309" s="10">
        <f>VLOOKUP(F309,F:I,4,0)=I309</f>
      </c>
      <c r="K309" s="1"/>
      <c r="L309" s="1"/>
      <c r="M309" s="19">
        <f>CHAR(10)&amp;"'"&amp;F309&amp;"' =&gt; ("&amp;IF(I309="字符串","string)",IF(I309="数值","int)",IF(I309="布尔","bool)","int)time")))&amp;" _, //"&amp;G309&amp;", 如: "&amp;H309</f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x14ac:dyDescent="0.25" r="310" customHeight="1" ht="18">
      <c r="A310" s="2"/>
      <c r="B310" s="35"/>
      <c r="C310" s="35"/>
      <c r="D310" s="35"/>
      <c r="E310" s="35"/>
      <c r="F310" s="21" t="s">
        <v>1124</v>
      </c>
      <c r="G310" s="9" t="s">
        <v>1125</v>
      </c>
      <c r="H310" s="10">
        <v>0</v>
      </c>
      <c r="I310" s="9" t="s">
        <v>460</v>
      </c>
      <c r="J310" s="10">
        <f>VLOOKUP(F310,F:I,4,0)=I310</f>
      </c>
      <c r="K310" s="1"/>
      <c r="L310" s="1"/>
      <c r="M310" s="19">
        <f>CHAR(10)&amp;"'"&amp;F310&amp;"' =&gt; ("&amp;IF(I310="字符串","string)",IF(I310="数值","int)",IF(I310="布尔","bool)","int)time")))&amp;" _, //"&amp;G310&amp;", 如: "&amp;H310</f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x14ac:dyDescent="0.25" r="311" customHeight="1" ht="18">
      <c r="A311" s="2"/>
      <c r="B311" s="35"/>
      <c r="C311" s="34" t="s">
        <v>1126</v>
      </c>
      <c r="D311" s="96" t="s">
        <v>1127</v>
      </c>
      <c r="E311" s="34" t="s">
        <v>1128</v>
      </c>
      <c r="F311" s="21" t="s">
        <v>452</v>
      </c>
      <c r="G311" s="9" t="s">
        <v>1111</v>
      </c>
      <c r="H311" s="10" t="s">
        <v>1112</v>
      </c>
      <c r="I311" s="9" t="s">
        <v>460</v>
      </c>
      <c r="J311" s="10">
        <f>VLOOKUP(F311,F:I,4,0)=I311</f>
      </c>
      <c r="K311" s="1"/>
      <c r="L311" s="1"/>
      <c r="M311" s="19">
        <f>CHAR(10)&amp;"'"&amp;F311&amp;"' =&gt; ("&amp;IF(I311="字符串","string)",IF(I311="数值","int)",IF(I311="布尔","bool)","int)time")))&amp;" _, //"&amp;G311&amp;", 如: "&amp;H311</f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x14ac:dyDescent="0.25" r="312" customHeight="1" ht="18">
      <c r="A312" s="2"/>
      <c r="B312" s="35"/>
      <c r="C312" s="35"/>
      <c r="D312" s="35"/>
      <c r="E312" s="35"/>
      <c r="F312" s="21" t="s">
        <v>1113</v>
      </c>
      <c r="G312" s="9" t="s">
        <v>15</v>
      </c>
      <c r="H312" s="10">
        <v>0</v>
      </c>
      <c r="I312" s="9" t="s">
        <v>460</v>
      </c>
      <c r="J312" s="10">
        <f>VLOOKUP(F312,F:I,4,0)=I312</f>
      </c>
      <c r="K312" s="1"/>
      <c r="L312" s="1"/>
      <c r="M312" s="19">
        <f>CHAR(10)&amp;"'"&amp;F312&amp;"' =&gt; ("&amp;IF(I312="字符串","string)",IF(I312="数值","int)",IF(I312="布尔","bool)","int)time")))&amp;" _, //"&amp;G312&amp;", 如: "&amp;H312</f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x14ac:dyDescent="0.25" r="313" customHeight="1" ht="18">
      <c r="A313" s="2"/>
      <c r="B313" s="35"/>
      <c r="C313" s="35"/>
      <c r="D313" s="35"/>
      <c r="E313" s="35"/>
      <c r="F313" s="21" t="s">
        <v>1114</v>
      </c>
      <c r="G313" s="9" t="s">
        <v>1115</v>
      </c>
      <c r="H313" s="10">
        <v>1</v>
      </c>
      <c r="I313" s="9" t="s">
        <v>460</v>
      </c>
      <c r="J313" s="10">
        <f>VLOOKUP(F313,F:I,4,0)=I313</f>
      </c>
      <c r="K313" s="1"/>
      <c r="L313" s="1"/>
      <c r="M313" s="19">
        <f>CHAR(10)&amp;"'"&amp;F313&amp;"' =&gt; ("&amp;IF(I313="字符串","string)",IF(I313="数值","int)",IF(I313="布尔","bool)","int)time")))&amp;" _, //"&amp;G313&amp;", 如: "&amp;H313</f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x14ac:dyDescent="0.25" r="314" customHeight="1" ht="18">
      <c r="A314" s="2"/>
      <c r="B314" s="35"/>
      <c r="C314" s="35"/>
      <c r="D314" s="35"/>
      <c r="E314" s="35"/>
      <c r="F314" s="32" t="s">
        <v>1116</v>
      </c>
      <c r="G314" s="9" t="s">
        <v>1117</v>
      </c>
      <c r="H314" s="10">
        <v>1</v>
      </c>
      <c r="I314" s="9" t="s">
        <v>460</v>
      </c>
      <c r="J314" s="10">
        <f>VLOOKUP(F314,F:I,4,0)=I314</f>
      </c>
      <c r="K314" s="1"/>
      <c r="L314" s="1"/>
      <c r="M314" s="19">
        <f>CHAR(10)&amp;"'"&amp;F314&amp;"' =&gt; ("&amp;IF(I314="字符串","string)",IF(I314="数值","int)",IF(I314="布尔","bool)","int)time")))&amp;" _, //"&amp;G314&amp;", 如: "&amp;H314</f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x14ac:dyDescent="0.25" r="315" customHeight="1" ht="18">
      <c r="A315" s="2"/>
      <c r="B315" s="35"/>
      <c r="C315" s="35"/>
      <c r="D315" s="35"/>
      <c r="E315" s="35"/>
      <c r="F315" s="21" t="s">
        <v>1118</v>
      </c>
      <c r="G315" s="9" t="s">
        <v>1119</v>
      </c>
      <c r="H315" s="10" t="s">
        <v>1129</v>
      </c>
      <c r="I315" s="9" t="s">
        <v>460</v>
      </c>
      <c r="J315" s="10">
        <f>VLOOKUP(F315,F:I,4,0)=I315</f>
      </c>
      <c r="K315" s="1"/>
      <c r="L315" s="1"/>
      <c r="M315" s="19">
        <f>CHAR(10)&amp;"'"&amp;F315&amp;"' =&gt; ("&amp;IF(I315="字符串","string)",IF(I315="数值","int)",IF(I315="布尔","bool)","int)time")))&amp;" _, //"&amp;G315&amp;", 如: "&amp;H315</f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x14ac:dyDescent="0.25" r="316" customHeight="1" ht="18">
      <c r="A316" s="2"/>
      <c r="B316" s="35"/>
      <c r="C316" s="35"/>
      <c r="D316" s="35"/>
      <c r="E316" s="35"/>
      <c r="F316" s="21" t="s">
        <v>1121</v>
      </c>
      <c r="G316" s="9" t="s">
        <v>1122</v>
      </c>
      <c r="H316" s="116" t="s">
        <v>1123</v>
      </c>
      <c r="I316" s="9" t="s">
        <v>481</v>
      </c>
      <c r="J316" s="10">
        <f>VLOOKUP(F316,F:I,4,0)=I316</f>
      </c>
      <c r="K316" s="1"/>
      <c r="L316" s="1"/>
      <c r="M316" s="19">
        <f>CHAR(10)&amp;"'"&amp;F316&amp;"' =&gt; ("&amp;IF(I316="字符串","string)",IF(I316="数值","int)",IF(I316="布尔","bool)","int)time")))&amp;" _, //"&amp;G316&amp;", 如: "&amp;H316</f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x14ac:dyDescent="0.25" r="317" customHeight="1" ht="18">
      <c r="A317" s="2"/>
      <c r="B317" s="35"/>
      <c r="C317" s="35"/>
      <c r="D317" s="35"/>
      <c r="E317" s="35"/>
      <c r="F317" s="21" t="s">
        <v>1124</v>
      </c>
      <c r="G317" s="9" t="s">
        <v>1125</v>
      </c>
      <c r="H317" s="10">
        <v>0</v>
      </c>
      <c r="I317" s="9" t="s">
        <v>460</v>
      </c>
      <c r="J317" s="10">
        <f>VLOOKUP(F317,F:I,4,0)=I317</f>
      </c>
      <c r="K317" s="1"/>
      <c r="L317" s="1"/>
      <c r="M317" s="19">
        <f>CHAR(10)&amp;"'"&amp;F317&amp;"' =&gt; ("&amp;IF(I317="字符串","string)",IF(I317="数值","int)",IF(I317="布尔","bool)","int)time")))&amp;" _, //"&amp;G317&amp;", 如: "&amp;H317</f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x14ac:dyDescent="0.25" r="318" customHeight="1" ht="18">
      <c r="A318" s="2"/>
      <c r="B318" s="35"/>
      <c r="C318" s="96" t="s">
        <v>1130</v>
      </c>
      <c r="D318" s="34" t="s">
        <v>1131</v>
      </c>
      <c r="E318" s="34" t="s">
        <v>1132</v>
      </c>
      <c r="F318" s="21" t="s">
        <v>452</v>
      </c>
      <c r="G318" s="9" t="s">
        <v>1111</v>
      </c>
      <c r="H318" s="10" t="s">
        <v>1112</v>
      </c>
      <c r="I318" s="9" t="s">
        <v>460</v>
      </c>
      <c r="J318" s="10">
        <f>VLOOKUP(F318,F:I,4,0)=I318</f>
      </c>
      <c r="K318" s="1"/>
      <c r="L318" s="1"/>
      <c r="M318" s="19">
        <f>CHAR(10)&amp;"'"&amp;F318&amp;"' =&gt; ("&amp;IF(I318="字符串","string)",IF(I318="数值","int)",IF(I318="布尔","bool)","int)time")))&amp;" _, //"&amp;G318&amp;", 如: "&amp;H318</f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x14ac:dyDescent="0.25" r="319" customHeight="1" ht="18">
      <c r="A319" s="2"/>
      <c r="B319" s="35"/>
      <c r="C319" s="35"/>
      <c r="D319" s="35"/>
      <c r="E319" s="35"/>
      <c r="F319" s="32" t="s">
        <v>1113</v>
      </c>
      <c r="G319" s="30" t="s">
        <v>15</v>
      </c>
      <c r="H319" s="10">
        <v>0</v>
      </c>
      <c r="I319" s="9" t="s">
        <v>460</v>
      </c>
      <c r="J319" s="10">
        <f>VLOOKUP(F319,F:I,4,0)=I319</f>
      </c>
      <c r="K319" s="1"/>
      <c r="L319" s="1"/>
      <c r="M319" s="19">
        <f>CHAR(10)&amp;"'"&amp;F319&amp;"' =&gt; ("&amp;IF(I319="字符串","string)",IF(I319="数值","int)",IF(I319="布尔","bool)","int)time")))&amp;" _, //"&amp;G319&amp;", 如: "&amp;H319</f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x14ac:dyDescent="0.25" r="320" customHeight="1" ht="18">
      <c r="A320" s="2"/>
      <c r="B320" s="35"/>
      <c r="C320" s="35"/>
      <c r="D320" s="35"/>
      <c r="E320" s="35"/>
      <c r="F320" s="21" t="s">
        <v>1114</v>
      </c>
      <c r="G320" s="9" t="s">
        <v>1115</v>
      </c>
      <c r="H320" s="10">
        <v>1</v>
      </c>
      <c r="I320" s="9" t="s">
        <v>460</v>
      </c>
      <c r="J320" s="10">
        <f>VLOOKUP(F320,F:I,4,0)=I320</f>
      </c>
      <c r="K320" s="1"/>
      <c r="L320" s="1"/>
      <c r="M320" s="19">
        <f>CHAR(10)&amp;"'"&amp;F320&amp;"' =&gt; ("&amp;IF(I320="字符串","string)",IF(I320="数值","int)",IF(I320="布尔","bool)","int)time")))&amp;" _, //"&amp;G320&amp;", 如: "&amp;H320</f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x14ac:dyDescent="0.25" r="321" customHeight="1" ht="18">
      <c r="A321" s="2"/>
      <c r="B321" s="35"/>
      <c r="C321" s="35"/>
      <c r="D321" s="35"/>
      <c r="E321" s="35"/>
      <c r="F321" s="21" t="s">
        <v>1116</v>
      </c>
      <c r="G321" s="9" t="s">
        <v>1117</v>
      </c>
      <c r="H321" s="10">
        <v>1</v>
      </c>
      <c r="I321" s="9" t="s">
        <v>460</v>
      </c>
      <c r="J321" s="10">
        <f>VLOOKUP(F321,F:I,4,0)=I321</f>
      </c>
      <c r="K321" s="1"/>
      <c r="L321" s="1"/>
      <c r="M321" s="19">
        <f>CHAR(10)&amp;"'"&amp;F321&amp;"' =&gt; ("&amp;IF(I321="字符串","string)",IF(I321="数值","int)",IF(I321="布尔","bool)","int)time")))&amp;" _, //"&amp;G321&amp;", 如: "&amp;H321</f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x14ac:dyDescent="0.25" r="322" customHeight="1" ht="18">
      <c r="A322" s="2"/>
      <c r="B322" s="35"/>
      <c r="C322" s="35"/>
      <c r="D322" s="35"/>
      <c r="E322" s="35"/>
      <c r="F322" s="21" t="s">
        <v>1118</v>
      </c>
      <c r="G322" s="9" t="s">
        <v>1119</v>
      </c>
      <c r="H322" s="10" t="s">
        <v>1133</v>
      </c>
      <c r="I322" s="9" t="s">
        <v>460</v>
      </c>
      <c r="J322" s="10">
        <f>VLOOKUP(F322,F:I,4,0)=I322</f>
      </c>
      <c r="K322" s="1"/>
      <c r="L322" s="1"/>
      <c r="M322" s="19">
        <f>CHAR(10)&amp;"'"&amp;F322&amp;"' =&gt; ("&amp;IF(I322="字符串","string)",IF(I322="数值","int)",IF(I322="布尔","bool)","int)time")))&amp;" _, //"&amp;G322&amp;", 如: "&amp;H322</f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x14ac:dyDescent="0.25" r="323" customHeight="1" ht="18">
      <c r="A323" s="2"/>
      <c r="B323" s="35"/>
      <c r="C323" s="35"/>
      <c r="D323" s="35"/>
      <c r="E323" s="35"/>
      <c r="F323" s="21" t="s">
        <v>1121</v>
      </c>
      <c r="G323" s="9" t="s">
        <v>1122</v>
      </c>
      <c r="H323" s="116" t="s">
        <v>1123</v>
      </c>
      <c r="I323" s="9" t="s">
        <v>481</v>
      </c>
      <c r="J323" s="10">
        <f>VLOOKUP(F323,F:I,4,0)=I323</f>
      </c>
      <c r="K323" s="1"/>
      <c r="L323" s="1"/>
      <c r="M323" s="19">
        <f>CHAR(10)&amp;"'"&amp;F323&amp;"' =&gt; ("&amp;IF(I323="字符串","string)",IF(I323="数值","int)",IF(I323="布尔","bool)","int)time")))&amp;" _, //"&amp;G323&amp;", 如: "&amp;H323</f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x14ac:dyDescent="0.25" r="324" customHeight="1" ht="18">
      <c r="A324" s="2"/>
      <c r="B324" s="35"/>
      <c r="C324" s="34" t="s">
        <v>1134</v>
      </c>
      <c r="D324" s="96" t="s">
        <v>1135</v>
      </c>
      <c r="E324" s="14" t="s">
        <v>1136</v>
      </c>
      <c r="F324" s="21" t="s">
        <v>1116</v>
      </c>
      <c r="G324" s="9" t="s">
        <v>1117</v>
      </c>
      <c r="H324" s="10">
        <v>1</v>
      </c>
      <c r="I324" s="9" t="s">
        <v>481</v>
      </c>
      <c r="J324" s="10">
        <f>VLOOKUP(F324,F:I,4,0)=I324</f>
      </c>
      <c r="K324" s="1"/>
      <c r="L324" s="1"/>
      <c r="M324" s="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x14ac:dyDescent="0.25" r="325" customHeight="1" ht="18">
      <c r="A325" s="2"/>
      <c r="B325" s="35"/>
      <c r="C325" s="35"/>
      <c r="D325" s="35"/>
      <c r="E325" s="81"/>
      <c r="F325" s="21" t="s">
        <v>1118</v>
      </c>
      <c r="G325" s="9" t="s">
        <v>1119</v>
      </c>
      <c r="H325" s="22" t="s">
        <v>1137</v>
      </c>
      <c r="I325" s="9" t="s">
        <v>460</v>
      </c>
      <c r="J325" s="10">
        <f>VLOOKUP(F325,F:I,4,0)=I325</f>
      </c>
      <c r="K325" s="1"/>
      <c r="L325" s="1"/>
      <c r="M325" s="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x14ac:dyDescent="0.25" r="326" customHeight="1" ht="18">
      <c r="A326" s="2"/>
      <c r="B326" s="35"/>
      <c r="C326" s="34" t="s">
        <v>1138</v>
      </c>
      <c r="D326" s="96" t="s">
        <v>1139</v>
      </c>
      <c r="E326" s="14" t="s">
        <v>1140</v>
      </c>
      <c r="F326" s="32" t="s">
        <v>1113</v>
      </c>
      <c r="G326" s="30" t="s">
        <v>15</v>
      </c>
      <c r="H326" s="22" t="s">
        <v>1141</v>
      </c>
      <c r="I326" s="9" t="s">
        <v>460</v>
      </c>
      <c r="J326" s="10">
        <f>vlookup(F326, F:I, 4, 0)=I326</f>
      </c>
      <c r="K326" s="1"/>
      <c r="L326" s="1"/>
      <c r="M326" s="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x14ac:dyDescent="0.25" r="327" customHeight="1" ht="18">
      <c r="A327" s="2"/>
      <c r="B327" s="35"/>
      <c r="C327" s="35"/>
      <c r="D327" s="35"/>
      <c r="E327" s="71"/>
      <c r="F327" s="21" t="s">
        <v>1116</v>
      </c>
      <c r="G327" s="9" t="s">
        <v>1117</v>
      </c>
      <c r="H327" s="10">
        <v>1</v>
      </c>
      <c r="I327" s="9" t="s">
        <v>481</v>
      </c>
      <c r="J327" s="10">
        <f>vlookup(F327, F:I, 4, 0)=I327</f>
      </c>
      <c r="K327" s="1"/>
      <c r="L327" s="1"/>
      <c r="M327" s="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x14ac:dyDescent="0.25" r="328" customHeight="1" ht="18">
      <c r="A328" s="2"/>
      <c r="B328" s="35"/>
      <c r="C328" s="35"/>
      <c r="D328" s="35"/>
      <c r="E328" s="81"/>
      <c r="F328" s="21" t="s">
        <v>1118</v>
      </c>
      <c r="G328" s="9" t="s">
        <v>1119</v>
      </c>
      <c r="H328" s="22" t="s">
        <v>1137</v>
      </c>
      <c r="I328" s="9" t="s">
        <v>460</v>
      </c>
      <c r="J328" s="10">
        <f>vlookup(F328, F:I, 4, 0)=I328</f>
      </c>
      <c r="K328" s="1"/>
      <c r="L328" s="1"/>
      <c r="M328" s="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x14ac:dyDescent="0.25" r="329" customHeight="1" ht="18">
      <c r="A329" s="34" t="s">
        <v>1142</v>
      </c>
      <c r="B329" s="82" t="s">
        <v>1143</v>
      </c>
      <c r="C329" s="86" t="s">
        <v>1144</v>
      </c>
      <c r="D329" s="86" t="s">
        <v>1145</v>
      </c>
      <c r="E329" s="86" t="s">
        <v>1146</v>
      </c>
      <c r="F329" s="9" t="s">
        <v>1147</v>
      </c>
      <c r="G329" s="9" t="s">
        <v>1148</v>
      </c>
      <c r="H329" s="10">
        <v>1</v>
      </c>
      <c r="I329" s="9" t="s">
        <v>460</v>
      </c>
      <c r="J329" s="10">
        <f>vlookup(F329, F:I, 4, 0)=I329</f>
      </c>
      <c r="K329" s="1"/>
      <c r="L329" s="1"/>
      <c r="M329" s="19">
        <f>char(10)&amp;"'"&amp;F329&amp;"' =&gt; ("&amp;if(I329="字符串", "string)", if(I329="数值", "int)", if(I329="布尔", "bool)", "int)time")))&amp;" _, //"&amp;G329&amp;", 如: "&amp;H329</f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x14ac:dyDescent="0.25" r="330" customHeight="1" ht="18">
      <c r="A330" s="35"/>
      <c r="B330" s="71"/>
      <c r="C330" s="35"/>
      <c r="D330" s="35"/>
      <c r="E330" s="35"/>
      <c r="F330" s="9" t="s">
        <v>1149</v>
      </c>
      <c r="G330" s="9" t="s">
        <v>1150</v>
      </c>
      <c r="H330" s="10" t="s">
        <v>1151</v>
      </c>
      <c r="I330" s="9" t="s">
        <v>460</v>
      </c>
      <c r="J330" s="10">
        <f>vlookup(F330, F:I, 4, 0)=I330</f>
      </c>
      <c r="K330" s="1"/>
      <c r="L330" s="1"/>
      <c r="M330" s="19">
        <f>char(10)&amp;"'"&amp;F330&amp;"' =&gt; ("&amp;if(I330="字符串", "string)", if(I330="数值", "int)", if(I330="布尔", "bool)", "int)time")))&amp;" _, //"&amp;G330&amp;", 如: "&amp;H330</f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x14ac:dyDescent="0.25" r="331" customHeight="1" ht="18">
      <c r="A331" s="35"/>
      <c r="B331" s="71"/>
      <c r="C331" s="35"/>
      <c r="D331" s="35"/>
      <c r="E331" s="35"/>
      <c r="F331" s="9" t="s">
        <v>1072</v>
      </c>
      <c r="G331" s="9" t="s">
        <v>1152</v>
      </c>
      <c r="H331" s="10">
        <v>1</v>
      </c>
      <c r="I331" s="9" t="s">
        <v>460</v>
      </c>
      <c r="J331" s="10">
        <f>vlookup(F331, F:I, 4, 0)=I331</f>
      </c>
      <c r="K331" s="1"/>
      <c r="L331" s="1"/>
      <c r="M331" s="19">
        <f>char(10)&amp;"'"&amp;F331&amp;"' =&gt; ("&amp;if(I331="字符串", "string)", if(I331="数值", "int)", if(I331="布尔", "bool)", "int)time")))&amp;" _, //"&amp;G331&amp;", 如: "&amp;H331</f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x14ac:dyDescent="0.25" r="332" customHeight="1" ht="18">
      <c r="A332" s="35"/>
      <c r="B332" s="71"/>
      <c r="C332" s="35"/>
      <c r="D332" s="35"/>
      <c r="E332" s="35"/>
      <c r="F332" s="9" t="s">
        <v>1097</v>
      </c>
      <c r="G332" s="9" t="s">
        <v>1098</v>
      </c>
      <c r="H332" s="10" t="s">
        <v>1153</v>
      </c>
      <c r="I332" s="9" t="s">
        <v>460</v>
      </c>
      <c r="J332" s="10">
        <f>vlookup(F332, F:I, 4, 0)=I332</f>
      </c>
      <c r="K332" s="1"/>
      <c r="L332" s="1"/>
      <c r="M332" s="19">
        <f>char(10)&amp;"'"&amp;F332&amp;"' =&gt; ("&amp;if(I332="字符串", "string)", if(I332="数值", "int)", if(I332="布尔", "bool)", "int)time")))&amp;" _, //"&amp;G332&amp;", 如: "&amp;H332</f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x14ac:dyDescent="0.25" r="333" customHeight="1" ht="18">
      <c r="A333" s="35"/>
      <c r="B333" s="71"/>
      <c r="C333" s="35"/>
      <c r="D333" s="35"/>
      <c r="E333" s="35"/>
      <c r="F333" s="9" t="s">
        <v>1154</v>
      </c>
      <c r="G333" s="9" t="s">
        <v>1155</v>
      </c>
      <c r="H333" s="10" t="s">
        <v>1156</v>
      </c>
      <c r="I333" s="9" t="s">
        <v>460</v>
      </c>
      <c r="J333" s="10">
        <f>vlookup(F333, F:I, 4, 0)=I333</f>
      </c>
      <c r="K333" s="1"/>
      <c r="L333" s="1"/>
      <c r="M333" s="19">
        <f>char(10)&amp;"'"&amp;F333&amp;"' =&gt; ("&amp;if(I333="字符串", "string)", if(I333="数值", "int)", if(I333="布尔", "bool)", "int)time")))&amp;" _, //"&amp;G333&amp;", 如: "&amp;H333</f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x14ac:dyDescent="0.25" r="334" customHeight="1" ht="18">
      <c r="A334" s="35"/>
      <c r="B334" s="71"/>
      <c r="C334" s="35"/>
      <c r="D334" s="35"/>
      <c r="E334" s="35"/>
      <c r="F334" s="9" t="s">
        <v>1157</v>
      </c>
      <c r="G334" s="9" t="s">
        <v>1158</v>
      </c>
      <c r="H334" s="10">
        <v>10</v>
      </c>
      <c r="I334" s="9" t="s">
        <v>481</v>
      </c>
      <c r="J334" s="10">
        <f>vlookup(F334, F:I, 4, 0)=I334</f>
      </c>
      <c r="K334" s="1"/>
      <c r="L334" s="1"/>
      <c r="M334" s="19">
        <f>char(10)&amp;"'"&amp;F334&amp;"' =&gt; ("&amp;if(I334="字符串", "string)", if(I334="数值", "int)", if(I334="布尔", "bool)", "int)time")))&amp;" _, //"&amp;G334&amp;", 如: "&amp;H334</f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x14ac:dyDescent="0.25" r="335" customHeight="1" ht="18">
      <c r="A335" s="35"/>
      <c r="B335" s="71"/>
      <c r="C335" s="35"/>
      <c r="D335" s="35"/>
      <c r="E335" s="35"/>
      <c r="F335" s="9" t="s">
        <v>1159</v>
      </c>
      <c r="G335" s="9" t="s">
        <v>1160</v>
      </c>
      <c r="H335" s="10">
        <v>10</v>
      </c>
      <c r="I335" s="9" t="s">
        <v>481</v>
      </c>
      <c r="J335" s="10">
        <f>vlookup(F335, F:I, 4, 0)=I335</f>
      </c>
      <c r="K335" s="1"/>
      <c r="L335" s="1"/>
      <c r="M335" s="19">
        <f>char(10)&amp;"'"&amp;F335&amp;"' =&gt; ("&amp;if(I335="字符串", "string)", if(I335="数值", "int)", if(I335="布尔", "bool)", "int)time")))&amp;" _, //"&amp;G335&amp;", 如: "&amp;H335</f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x14ac:dyDescent="0.25" r="336" customHeight="1" ht="18">
      <c r="A336" s="35"/>
      <c r="B336" s="71"/>
      <c r="C336" s="35"/>
      <c r="D336" s="35"/>
      <c r="E336" s="35"/>
      <c r="F336" s="9" t="s">
        <v>1161</v>
      </c>
      <c r="G336" s="9" t="s">
        <v>1162</v>
      </c>
      <c r="H336" s="10" t="s">
        <v>550</v>
      </c>
      <c r="I336" s="9" t="s">
        <v>460</v>
      </c>
      <c r="J336" s="10">
        <f>vlookup(F336, F:I, 4, 0)=I336</f>
      </c>
      <c r="K336" s="1"/>
      <c r="L336" s="1"/>
      <c r="M336" s="19">
        <f>char(10)&amp;"'"&amp;F336&amp;"' =&gt; ("&amp;if(I336="字符串", "string)", if(I336="数值", "int)", if(I336="布尔", "bool)", "int)time")))&amp;" _, //"&amp;G336&amp;", 如: "&amp;H336</f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x14ac:dyDescent="0.25" r="337" customHeight="1" ht="18">
      <c r="A337" s="35"/>
      <c r="B337" s="71"/>
      <c r="C337" s="35"/>
      <c r="D337" s="35"/>
      <c r="E337" s="35"/>
      <c r="F337" s="9" t="s">
        <v>1163</v>
      </c>
      <c r="G337" s="9" t="s">
        <v>1164</v>
      </c>
      <c r="H337" s="10" t="s">
        <v>570</v>
      </c>
      <c r="I337" s="9" t="s">
        <v>571</v>
      </c>
      <c r="J337" s="10">
        <f>vlookup(F337, F:I, 4, 0)=I337</f>
      </c>
      <c r="K337" s="1"/>
      <c r="L337" s="1"/>
      <c r="M337" s="19">
        <f>char(10)&amp;"'"&amp;F337&amp;"' =&gt; ("&amp;if(I337="字符串", "string)", if(I337="数值", "int)", if(I337="布尔", "bool)", "int)time")))&amp;" _, //"&amp;G337&amp;", 如: "&amp;H337</f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x14ac:dyDescent="0.25" r="338" customHeight="1" ht="18">
      <c r="A338" s="35"/>
      <c r="B338" s="71"/>
      <c r="C338" s="35"/>
      <c r="D338" s="35"/>
      <c r="E338" s="35"/>
      <c r="F338" s="9" t="s">
        <v>1165</v>
      </c>
      <c r="G338" s="9" t="s">
        <v>1166</v>
      </c>
      <c r="H338" s="10">
        <v>1</v>
      </c>
      <c r="I338" s="9" t="s">
        <v>460</v>
      </c>
      <c r="J338" s="10">
        <f>vlookup(F338, F:I, 4, 0)=I338</f>
      </c>
      <c r="K338" s="1"/>
      <c r="L338" s="1"/>
      <c r="M338" s="19">
        <f>char(10)&amp;"'"&amp;F338&amp;"' =&gt; ("&amp;if(I338="字符串", "string)", if(I338="数值", "int)", if(I338="布尔", "bool)", "int)time")))&amp;" _, //"&amp;G338&amp;", 如: "&amp;H338</f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x14ac:dyDescent="0.25" r="339" customHeight="1" ht="18">
      <c r="A339" s="35"/>
      <c r="B339" s="71"/>
      <c r="C339" s="35"/>
      <c r="D339" s="35"/>
      <c r="E339" s="35"/>
      <c r="F339" s="9" t="s">
        <v>1167</v>
      </c>
      <c r="G339" s="9" t="s">
        <v>1168</v>
      </c>
      <c r="H339" s="10">
        <v>1</v>
      </c>
      <c r="I339" s="9" t="s">
        <v>481</v>
      </c>
      <c r="J339" s="10">
        <f>vlookup(F339, F:I, 4, 0)=I339</f>
      </c>
      <c r="K339" s="1"/>
      <c r="L339" s="1"/>
      <c r="M339" s="19">
        <f>char(10)&amp;"'"&amp;F339&amp;"' =&gt; ("&amp;if(I339="字符串", "string)", if(I339="数值", "int)", if(I339="布尔", "bool)", "int)time")))&amp;" _, //"&amp;G339&amp;", 如: "&amp;H339</f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x14ac:dyDescent="0.25" r="340" customHeight="1" ht="18">
      <c r="A340" s="35"/>
      <c r="B340" s="71"/>
      <c r="C340" s="34" t="s">
        <v>1169</v>
      </c>
      <c r="D340" s="34" t="s">
        <v>1170</v>
      </c>
      <c r="E340" s="96" t="s">
        <v>1171</v>
      </c>
      <c r="F340" s="9" t="s">
        <v>1147</v>
      </c>
      <c r="G340" s="9" t="s">
        <v>1148</v>
      </c>
      <c r="H340" s="10">
        <v>1</v>
      </c>
      <c r="I340" s="9" t="s">
        <v>460</v>
      </c>
      <c r="J340" s="10">
        <f>vlookup(F340, F:I, 4, 0)=I340</f>
      </c>
      <c r="K340" s="1"/>
      <c r="L340" s="1"/>
      <c r="M340" s="19">
        <f>char(10)&amp;"'"&amp;F340&amp;"' =&gt; ("&amp;if(I340="字符串", "string)", if(I340="数值", "int)", if(I340="布尔", "bool)", "int)time")))&amp;" _, //"&amp;G340&amp;", 如: "&amp;H340</f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x14ac:dyDescent="0.25" r="341" customHeight="1" ht="18">
      <c r="A341" s="35"/>
      <c r="B341" s="71"/>
      <c r="C341" s="35"/>
      <c r="D341" s="35"/>
      <c r="E341" s="35"/>
      <c r="F341" s="9" t="s">
        <v>1149</v>
      </c>
      <c r="G341" s="9" t="s">
        <v>1150</v>
      </c>
      <c r="H341" s="10" t="s">
        <v>1151</v>
      </c>
      <c r="I341" s="9" t="s">
        <v>460</v>
      </c>
      <c r="J341" s="10">
        <f>vlookup(F341, F:I, 4, 0)=I341</f>
      </c>
      <c r="K341" s="1"/>
      <c r="L341" s="1"/>
      <c r="M341" s="19">
        <f>char(10)&amp;"'"&amp;F341&amp;"' =&gt; ("&amp;if(I341="字符串", "string)", if(I341="数值", "int)", if(I341="布尔", "bool)", "int)time")))&amp;" _, //"&amp;G341&amp;", 如: "&amp;H341</f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x14ac:dyDescent="0.25" r="342" customHeight="1" ht="18">
      <c r="A342" s="35"/>
      <c r="B342" s="71"/>
      <c r="C342" s="35"/>
      <c r="D342" s="35"/>
      <c r="E342" s="35"/>
      <c r="F342" s="9" t="s">
        <v>1072</v>
      </c>
      <c r="G342" s="9" t="s">
        <v>1152</v>
      </c>
      <c r="H342" s="10">
        <v>1</v>
      </c>
      <c r="I342" s="9" t="s">
        <v>460</v>
      </c>
      <c r="J342" s="10">
        <f>vlookup(F342, F:I, 4, 0)=I342</f>
      </c>
      <c r="K342" s="1"/>
      <c r="L342" s="1"/>
      <c r="M342" s="19">
        <f>char(10)&amp;"'"&amp;F342&amp;"' =&gt; ("&amp;if(I342="字符串", "string)", if(I342="数值", "int)", if(I342="布尔", "bool)", "int)time")))&amp;" _, //"&amp;G342&amp;", 如: "&amp;H342</f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x14ac:dyDescent="0.25" r="343" customHeight="1" ht="18">
      <c r="A343" s="35"/>
      <c r="B343" s="71"/>
      <c r="C343" s="35"/>
      <c r="D343" s="35"/>
      <c r="E343" s="35"/>
      <c r="F343" s="30" t="s">
        <v>1097</v>
      </c>
      <c r="G343" s="9" t="s">
        <v>1098</v>
      </c>
      <c r="H343" s="10" t="s">
        <v>1153</v>
      </c>
      <c r="I343" s="9" t="s">
        <v>460</v>
      </c>
      <c r="J343" s="10">
        <f>vlookup(F343, F:I, 4, 0)=I343</f>
      </c>
      <c r="K343" s="2"/>
      <c r="L343" s="1"/>
      <c r="M343" s="19">
        <f>char(10)&amp;"'"&amp;F343&amp;"' =&gt; ("&amp;if(I343="字符串", "string)", if(I343="数值", "int)", if(I343="布尔", "bool)", "int)time")))&amp;" _, //"&amp;G343&amp;", 如: "&amp;H343</f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x14ac:dyDescent="0.25" r="344" customHeight="1" ht="18">
      <c r="A344" s="35"/>
      <c r="B344" s="71"/>
      <c r="C344" s="35"/>
      <c r="D344" s="35"/>
      <c r="E344" s="35"/>
      <c r="F344" s="9" t="s">
        <v>1154</v>
      </c>
      <c r="G344" s="9" t="s">
        <v>1155</v>
      </c>
      <c r="H344" s="10" t="s">
        <v>1156</v>
      </c>
      <c r="I344" s="9" t="s">
        <v>460</v>
      </c>
      <c r="J344" s="10">
        <f>vlookup(F344, F:I, 4, 0)=I344</f>
      </c>
      <c r="K344" s="2"/>
      <c r="L344" s="1"/>
      <c r="M344" s="19">
        <f>char(10)&amp;"'"&amp;F344&amp;"' =&gt; ("&amp;if(I344="字符串", "string)", if(I344="数值", "int)", if(I344="布尔", "bool)", "int)time")))&amp;" _, //"&amp;G344&amp;", 如: "&amp;H344</f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x14ac:dyDescent="0.25" r="345" customHeight="1" ht="18">
      <c r="A345" s="35"/>
      <c r="B345" s="71"/>
      <c r="C345" s="35"/>
      <c r="D345" s="35"/>
      <c r="E345" s="35"/>
      <c r="F345" s="9" t="s">
        <v>1172</v>
      </c>
      <c r="G345" s="9" t="s">
        <v>1173</v>
      </c>
      <c r="H345" s="10" t="s">
        <v>1174</v>
      </c>
      <c r="I345" s="9" t="s">
        <v>460</v>
      </c>
      <c r="J345" s="10">
        <f>vlookup(F345, F:I, 4, 0)=I345</f>
      </c>
      <c r="K345" s="1"/>
      <c r="L345" s="1"/>
      <c r="M345" s="19">
        <f>char(10)&amp;"'"&amp;F345&amp;"' =&gt; ("&amp;if(I345="字符串", "string)", if(I345="数值", "int)", if(I345="布尔", "bool)", "int)time")))&amp;" _, //"&amp;G345&amp;", 如: "&amp;H345</f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x14ac:dyDescent="0.25" r="346" customHeight="1" ht="18">
      <c r="A346" s="35"/>
      <c r="B346" s="71"/>
      <c r="C346" s="35"/>
      <c r="D346" s="35"/>
      <c r="E346" s="35"/>
      <c r="F346" s="9" t="s">
        <v>1157</v>
      </c>
      <c r="G346" s="9" t="s">
        <v>1158</v>
      </c>
      <c r="H346" s="10">
        <v>10</v>
      </c>
      <c r="I346" s="9" t="s">
        <v>481</v>
      </c>
      <c r="J346" s="10">
        <f>vlookup(F346, F:I, 4, 0)=I346</f>
      </c>
      <c r="K346" s="1"/>
      <c r="L346" s="1"/>
      <c r="M346" s="19">
        <f>char(10)&amp;"'"&amp;F346&amp;"' =&gt; ("&amp;if(I346="字符串", "string)", if(I346="数值", "int)", if(I346="布尔", "bool)", "int)time")))&amp;" _, //"&amp;G346&amp;", 如: "&amp;H346</f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x14ac:dyDescent="0.25" r="347" customHeight="1" ht="18">
      <c r="A347" s="35"/>
      <c r="B347" s="71"/>
      <c r="C347" s="35"/>
      <c r="D347" s="35"/>
      <c r="E347" s="35"/>
      <c r="F347" s="9" t="s">
        <v>1159</v>
      </c>
      <c r="G347" s="9" t="s">
        <v>1160</v>
      </c>
      <c r="H347" s="10">
        <v>10</v>
      </c>
      <c r="I347" s="9" t="s">
        <v>481</v>
      </c>
      <c r="J347" s="10">
        <f>vlookup(F347, F:I, 4, 0)=I347</f>
      </c>
      <c r="K347" s="1"/>
      <c r="L347" s="1"/>
      <c r="M347" s="19">
        <f>char(10)&amp;"'"&amp;F347&amp;"' =&gt; ("&amp;if(I347="字符串", "string)", if(I347="数值", "int)", if(I347="布尔", "bool)", "int)time")))&amp;" _, //"&amp;G347&amp;", 如: "&amp;H347</f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x14ac:dyDescent="0.25" r="348" customHeight="1" ht="18">
      <c r="A348" s="35"/>
      <c r="B348" s="71"/>
      <c r="C348" s="35"/>
      <c r="D348" s="35"/>
      <c r="E348" s="35"/>
      <c r="F348" s="9" t="s">
        <v>1161</v>
      </c>
      <c r="G348" s="9" t="s">
        <v>1162</v>
      </c>
      <c r="H348" s="10" t="s">
        <v>550</v>
      </c>
      <c r="I348" s="9" t="s">
        <v>460</v>
      </c>
      <c r="J348" s="10">
        <f>vlookup(F348, F:I, 4, 0)=I348</f>
      </c>
      <c r="K348" s="2"/>
      <c r="L348" s="1"/>
      <c r="M348" s="19">
        <f>char(10)&amp;"'"&amp;F348&amp;"' =&gt; ("&amp;if(I348="字符串", "string)", if(I348="数值", "int)", if(I348="布尔", "bool)", "int)time")))&amp;" _, //"&amp;G348&amp;", 如: "&amp;H348</f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x14ac:dyDescent="0.25" r="349" customHeight="1" ht="18">
      <c r="A349" s="35"/>
      <c r="B349" s="71"/>
      <c r="C349" s="35"/>
      <c r="D349" s="35"/>
      <c r="E349" s="35"/>
      <c r="F349" s="30" t="s">
        <v>1163</v>
      </c>
      <c r="G349" s="9" t="s">
        <v>1164</v>
      </c>
      <c r="H349" s="10" t="s">
        <v>570</v>
      </c>
      <c r="I349" s="9" t="s">
        <v>571</v>
      </c>
      <c r="J349" s="10">
        <f>vlookup(F349, F:I, 4, 0)=I349</f>
      </c>
      <c r="K349" s="2"/>
      <c r="L349" s="1"/>
      <c r="M349" s="19">
        <f>char(10)&amp;"'"&amp;F349&amp;"' =&gt; ("&amp;if(I349="字符串", "string)", if(I349="数值", "int)", if(I349="布尔", "bool)", "int)time")))&amp;" _, //"&amp;G349&amp;", 如: "&amp;H349</f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x14ac:dyDescent="0.25" r="350" customHeight="1" ht="18">
      <c r="A350" s="35"/>
      <c r="B350" s="71"/>
      <c r="C350" s="35"/>
      <c r="D350" s="35"/>
      <c r="E350" s="35"/>
      <c r="F350" s="9" t="s">
        <v>1165</v>
      </c>
      <c r="G350" s="9" t="s">
        <v>1166</v>
      </c>
      <c r="H350" s="10">
        <v>1</v>
      </c>
      <c r="I350" s="9" t="s">
        <v>460</v>
      </c>
      <c r="J350" s="10">
        <f>vlookup(F350, F:I, 4, 0)=I350</f>
      </c>
      <c r="K350" s="2"/>
      <c r="L350" s="1"/>
      <c r="M350" s="19">
        <f>char(10)&amp;"'"&amp;F350&amp;"' =&gt; ("&amp;if(I350="字符串", "string)", if(I350="数值", "int)", if(I350="布尔", "bool)", "int)time")))&amp;" _, //"&amp;G350&amp;", 如: "&amp;H350</f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x14ac:dyDescent="0.25" r="351" customHeight="1" ht="18">
      <c r="A351" s="35"/>
      <c r="B351" s="71"/>
      <c r="C351" s="35"/>
      <c r="D351" s="35"/>
      <c r="E351" s="35"/>
      <c r="F351" s="9" t="s">
        <v>1167</v>
      </c>
      <c r="G351" s="9" t="s">
        <v>1168</v>
      </c>
      <c r="H351" s="10">
        <v>1</v>
      </c>
      <c r="I351" s="9" t="s">
        <v>481</v>
      </c>
      <c r="J351" s="10">
        <f>vlookup(F351, F:I, 4, 0)=I351</f>
      </c>
      <c r="K351" s="2"/>
      <c r="L351" s="1"/>
      <c r="M351" s="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x14ac:dyDescent="0.25" r="352" customHeight="1" ht="18">
      <c r="A352" s="35"/>
      <c r="B352" s="81"/>
      <c r="C352" s="35"/>
      <c r="D352" s="35"/>
      <c r="E352" s="35"/>
      <c r="F352" s="33" t="s">
        <v>1175</v>
      </c>
      <c r="G352" s="33" t="s">
        <v>1176</v>
      </c>
      <c r="H352" s="117">
        <v>4</v>
      </c>
      <c r="I352" s="9" t="s">
        <v>481</v>
      </c>
      <c r="J352" s="10">
        <f>vlookup(F352, F:I, 4, 0)=I352</f>
      </c>
      <c r="K352" s="2"/>
      <c r="L352" s="1"/>
      <c r="M352" s="19">
        <f>char(10)&amp;"'"&amp;F352&amp;"' =&gt; ("&amp;if(I352="字符串", "string)", if(I352="数值", "int)", if(I352="布尔", "bool)", "int)time")))&amp;" _, //"&amp;G352&amp;", 如: "&amp;H352</f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x14ac:dyDescent="0.25" r="353" customHeight="1" ht="18">
      <c r="A353" s="34" t="s">
        <v>1177</v>
      </c>
      <c r="B353" s="66" t="s">
        <v>1178</v>
      </c>
      <c r="C353" s="96" t="s">
        <v>1179</v>
      </c>
      <c r="D353" s="34" t="s">
        <v>1180</v>
      </c>
      <c r="E353" s="34" t="s">
        <v>1181</v>
      </c>
      <c r="F353" s="30" t="s">
        <v>1182</v>
      </c>
      <c r="G353" s="9" t="s">
        <v>1183</v>
      </c>
      <c r="H353" s="10" t="s">
        <v>1184</v>
      </c>
      <c r="I353" s="9" t="s">
        <v>460</v>
      </c>
      <c r="J353" s="10">
        <f>vlookup(F353, F:I, 4, 0)=I353</f>
      </c>
      <c r="K353" s="2"/>
      <c r="L353" s="1"/>
      <c r="M353" s="19">
        <f>char(10)&amp;"'"&amp;F353&amp;"' =&gt; ("&amp;if(I353="字符串", "string)", if(I353="数值", "int)", if(I353="布尔", "bool)", "int)time")))&amp;" _, //"&amp;G353&amp;", 如: "&amp;H353</f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x14ac:dyDescent="0.25" r="354" customHeight="1" ht="18">
      <c r="A354" s="35"/>
      <c r="B354" s="71"/>
      <c r="C354" s="35"/>
      <c r="D354" s="35"/>
      <c r="E354" s="35"/>
      <c r="F354" s="9" t="s">
        <v>1185</v>
      </c>
      <c r="G354" s="9" t="s">
        <v>1186</v>
      </c>
      <c r="H354" s="10">
        <v>1</v>
      </c>
      <c r="I354" s="9" t="s">
        <v>481</v>
      </c>
      <c r="J354" s="10">
        <f>vlookup(F354, F:I, 4, 0)=I354</f>
      </c>
      <c r="K354" s="2"/>
      <c r="L354" s="1"/>
      <c r="M354" s="19">
        <f>char(10)&amp;"'"&amp;F354&amp;"' =&gt; ("&amp;if(I354="字符串", "string)", if(I354="数值", "int)", if(I354="布尔", "bool)", "int)time")))&amp;" _, //"&amp;G354&amp;", 如: "&amp;H354</f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x14ac:dyDescent="0.25" r="355" customHeight="1" ht="18">
      <c r="A355" s="35"/>
      <c r="B355" s="71"/>
      <c r="C355" s="35"/>
      <c r="D355" s="35"/>
      <c r="E355" s="35"/>
      <c r="F355" s="9" t="s">
        <v>1187</v>
      </c>
      <c r="G355" s="9" t="s">
        <v>1188</v>
      </c>
      <c r="H355" s="10" t="s">
        <v>1189</v>
      </c>
      <c r="I355" s="9" t="s">
        <v>460</v>
      </c>
      <c r="J355" s="10">
        <f>vlookup(F355, F:I, 4, 0)=I355</f>
      </c>
      <c r="K355" s="2"/>
      <c r="L355" s="1"/>
      <c r="M355" s="19">
        <f>char(10)&amp;"'"&amp;F355&amp;"' =&gt; ("&amp;if(I355="字符串", "string)", if(I355="数值", "int)", if(I355="布尔", "bool)", "int)time")))&amp;" _, //"&amp;G355&amp;", 如: "&amp;H355</f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x14ac:dyDescent="0.25" r="356" customHeight="1" ht="18">
      <c r="A356" s="35"/>
      <c r="B356" s="71"/>
      <c r="C356" s="35"/>
      <c r="D356" s="35"/>
      <c r="E356" s="35"/>
      <c r="F356" s="30" t="s">
        <v>1190</v>
      </c>
      <c r="G356" s="9" t="s">
        <v>1191</v>
      </c>
      <c r="H356" s="10">
        <v>10</v>
      </c>
      <c r="I356" s="9" t="s">
        <v>481</v>
      </c>
      <c r="J356" s="10">
        <f>vlookup(F356, F:I, 4, 0)=I356</f>
      </c>
      <c r="K356" s="2"/>
      <c r="L356" s="1"/>
      <c r="M356" s="19">
        <f>char(10)&amp;"'"&amp;F356&amp;"' =&gt; ("&amp;if(I356="字符串", "string)", if(I356="数值", "int)", if(I356="布尔", "bool)", "int)time")))&amp;" _, //"&amp;G356&amp;", 如: "&amp;H356</f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x14ac:dyDescent="0.25" r="357" customHeight="1" ht="18">
      <c r="A357" s="35"/>
      <c r="B357" s="71"/>
      <c r="C357" s="35"/>
      <c r="D357" s="35"/>
      <c r="E357" s="35"/>
      <c r="F357" s="30" t="s">
        <v>1192</v>
      </c>
      <c r="G357" s="9" t="s">
        <v>1193</v>
      </c>
      <c r="H357" s="10">
        <v>101</v>
      </c>
      <c r="I357" s="9" t="s">
        <v>481</v>
      </c>
      <c r="J357" s="10">
        <f>vlookup(F357, F:I, 4, 0)=I357</f>
      </c>
      <c r="K357" s="1"/>
      <c r="L357" s="1"/>
      <c r="M357" s="19">
        <f>char(10)&amp;"'"&amp;F357&amp;"' =&gt; ("&amp;if(I357="字符串", "string)", if(I357="数值", "int)", if(I357="布尔", "bool)", "int)time")))&amp;" _, //"&amp;G357&amp;", 如: "&amp;H357</f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x14ac:dyDescent="0.25" r="358" customHeight="1" ht="18">
      <c r="A358" s="35"/>
      <c r="B358" s="81"/>
      <c r="C358" s="35"/>
      <c r="D358" s="35"/>
      <c r="E358" s="35"/>
      <c r="F358" s="30" t="s">
        <v>1194</v>
      </c>
      <c r="G358" s="9" t="s">
        <v>1195</v>
      </c>
      <c r="H358" s="10">
        <v>1000</v>
      </c>
      <c r="I358" s="9" t="s">
        <v>481</v>
      </c>
      <c r="J358" s="10">
        <f>vlookup(F358, F:I, 4, 0)=I358</f>
      </c>
      <c r="K358" s="1"/>
      <c r="L358" s="1"/>
      <c r="M358" s="19">
        <f>char(10)&amp;"'"&amp;F358&amp;"' =&gt; ("&amp;if(I358="字符串", "string)", if(I358="数值", "int)", if(I358="布尔", "bool)", "int)time")))&amp;" _, //"&amp;G358&amp;", 如: "&amp;H358</f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x14ac:dyDescent="0.25" r="359" customHeight="1" ht="18">
      <c r="A359" s="65" t="s">
        <v>1196</v>
      </c>
      <c r="B359" s="66" t="s">
        <v>1197</v>
      </c>
      <c r="C359" s="14" t="s">
        <v>1198</v>
      </c>
      <c r="D359" s="66" t="s">
        <v>1199</v>
      </c>
      <c r="E359" s="66" t="s">
        <v>1200</v>
      </c>
      <c r="F359" s="9" t="s">
        <v>1201</v>
      </c>
      <c r="G359" s="9" t="s">
        <v>1202</v>
      </c>
      <c r="H359" s="10">
        <v>1000</v>
      </c>
      <c r="I359" s="9" t="s">
        <v>481</v>
      </c>
      <c r="J359" s="10">
        <f>vlookup(F359, F:I, 4, 0)=I359</f>
      </c>
      <c r="K359" s="1"/>
      <c r="L359" s="1"/>
      <c r="M359" s="19">
        <f>char(10)&amp;"'"&amp;F359&amp;"' =&gt; ("&amp;if(I359="字符串", "string)", if(I359="数值", "int)", if(I359="布尔", "bool)", "int)time")))&amp;" _, //"&amp;G359&amp;", 如: "&amp;H359</f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x14ac:dyDescent="0.25" r="360" customHeight="1" ht="18">
      <c r="A360" s="70"/>
      <c r="B360" s="71"/>
      <c r="C360" s="71"/>
      <c r="D360" s="71"/>
      <c r="E360" s="71"/>
      <c r="F360" s="30" t="s">
        <v>1203</v>
      </c>
      <c r="G360" s="30" t="s">
        <v>1204</v>
      </c>
      <c r="H360" s="10">
        <v>1</v>
      </c>
      <c r="I360" s="9" t="s">
        <v>481</v>
      </c>
      <c r="J360" s="10">
        <f>vlookup(F360, F:I, 4, 0)=I360</f>
      </c>
      <c r="K360" s="1"/>
      <c r="L360" s="1"/>
      <c r="M360" s="19">
        <f>char(10)&amp;"'"&amp;F360&amp;"' =&gt; ("&amp;if(I360="字符串", "string)", if(I360="数值", "int)", if(I360="布尔", "bool)", "int)time")))&amp;" _, //"&amp;G360&amp;", 如: "&amp;H360</f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x14ac:dyDescent="0.25" r="361" customHeight="1" ht="18">
      <c r="A361" s="70"/>
      <c r="B361" s="71"/>
      <c r="C361" s="71"/>
      <c r="D361" s="71"/>
      <c r="E361" s="71"/>
      <c r="F361" s="9" t="s">
        <v>1016</v>
      </c>
      <c r="G361" s="9" t="s">
        <v>1017</v>
      </c>
      <c r="H361" s="10" t="s">
        <v>1205</v>
      </c>
      <c r="I361" s="9" t="s">
        <v>460</v>
      </c>
      <c r="J361" s="10">
        <f>vlookup(F361, F:I, 4, 0)=I361</f>
      </c>
      <c r="K361" s="1"/>
      <c r="L361" s="1"/>
      <c r="M361" s="19">
        <f>char(10)&amp;"'"&amp;F361&amp;"' =&gt; ("&amp;if(I361="字符串", "string)", if(I361="数值", "int)", if(I361="布尔", "bool)", "int)time")))&amp;" _, //"&amp;G361&amp;", 如: "&amp;H361</f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x14ac:dyDescent="0.25" r="362" customHeight="1" ht="18">
      <c r="A362" s="70"/>
      <c r="B362" s="71"/>
      <c r="C362" s="71"/>
      <c r="D362" s="71"/>
      <c r="E362" s="71"/>
      <c r="F362" s="9" t="s">
        <v>1206</v>
      </c>
      <c r="G362" s="30" t="s">
        <v>119</v>
      </c>
      <c r="H362" s="10">
        <v>1</v>
      </c>
      <c r="I362" s="9" t="s">
        <v>481</v>
      </c>
      <c r="J362" s="10">
        <f>vlookup(F362, F:I, 4, 0)=I362</f>
      </c>
      <c r="K362" s="1"/>
      <c r="L362" s="1"/>
      <c r="M362" s="19">
        <f>char(10)&amp;"'"&amp;F362&amp;"' =&gt; ("&amp;if(I362="字符串", "string)", if(I362="数值", "int)", if(I362="布尔", "bool)", "int)time")))&amp;" _, //"&amp;G362&amp;", 如: "&amp;H362</f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x14ac:dyDescent="0.25" r="363" customHeight="1" ht="18">
      <c r="A363" s="70"/>
      <c r="B363" s="71"/>
      <c r="C363" s="71"/>
      <c r="D363" s="71"/>
      <c r="E363" s="71"/>
      <c r="F363" s="30" t="s">
        <v>818</v>
      </c>
      <c r="G363" s="30" t="s">
        <v>819</v>
      </c>
      <c r="H363" s="10">
        <v>1</v>
      </c>
      <c r="I363" s="9" t="s">
        <v>481</v>
      </c>
      <c r="J363" s="10">
        <f>vlookup(F363, F:I, 4, 0)=I363</f>
      </c>
      <c r="K363" s="1"/>
      <c r="L363" s="1"/>
      <c r="M363" s="19">
        <f>char(10)&amp;"'"&amp;F363&amp;"' =&gt; ("&amp;if(I363="字符串", "string)", if(I363="数值", "int)", if(I363="布尔", "bool)", "int)time")))&amp;" _, //"&amp;G363&amp;", 如: "&amp;H363</f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x14ac:dyDescent="0.25" r="364" customHeight="1" ht="18">
      <c r="A364" s="70"/>
      <c r="B364" s="71"/>
      <c r="C364" s="71"/>
      <c r="D364" s="71"/>
      <c r="E364" s="71"/>
      <c r="F364" s="30" t="s">
        <v>1207</v>
      </c>
      <c r="G364" s="30" t="s">
        <v>520</v>
      </c>
      <c r="H364" s="10">
        <v>1</v>
      </c>
      <c r="I364" s="9" t="s">
        <v>481</v>
      </c>
      <c r="J364" s="10">
        <f>vlookup(F364, F:I, 4, 0)=I364</f>
      </c>
      <c r="K364" s="1"/>
      <c r="L364" s="1"/>
      <c r="M364" s="19">
        <f>char(10)&amp;"'"&amp;F364&amp;"' =&gt; ("&amp;if(I364="字符串", "string)", if(I364="数值", "int)", if(I364="布尔", "bool)", "int)time")))&amp;" _, //"&amp;G364&amp;", 如: "&amp;H364</f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x14ac:dyDescent="0.25" r="365" customHeight="1" ht="18">
      <c r="A365" s="70"/>
      <c r="B365" s="71"/>
      <c r="C365" s="71"/>
      <c r="D365" s="71"/>
      <c r="E365" s="71"/>
      <c r="F365" s="30" t="s">
        <v>511</v>
      </c>
      <c r="G365" s="30" t="s">
        <v>1208</v>
      </c>
      <c r="H365" s="10">
        <v>1000</v>
      </c>
      <c r="I365" s="9" t="s">
        <v>481</v>
      </c>
      <c r="J365" s="10">
        <f>vlookup(F365, F:I, 4, 0)=I365</f>
      </c>
      <c r="K365" s="1"/>
      <c r="L365" s="1"/>
      <c r="M365" s="19">
        <f>char(10)&amp;"'"&amp;F365&amp;"' =&gt; ("&amp;if(I365="字符串", "string)", if(I365="数值", "int)", if(I365="布尔", "bool)", "int)time")))&amp;" _, //"&amp;G365&amp;", 如: "&amp;H365</f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x14ac:dyDescent="0.25" r="366" customHeight="1" ht="18">
      <c r="A366" s="70"/>
      <c r="B366" s="71"/>
      <c r="C366" s="71"/>
      <c r="D366" s="71"/>
      <c r="E366" s="71"/>
      <c r="F366" s="30" t="s">
        <v>513</v>
      </c>
      <c r="G366" s="30" t="s">
        <v>1209</v>
      </c>
      <c r="H366" s="10">
        <v>1000</v>
      </c>
      <c r="I366" s="9" t="s">
        <v>481</v>
      </c>
      <c r="J366" s="10">
        <f>vlookup(F366, F:I, 4, 0)=I366</f>
      </c>
      <c r="K366" s="1"/>
      <c r="L366" s="1"/>
      <c r="M366" s="19">
        <f>char(10)&amp;"'"&amp;F366&amp;"' =&gt; ("&amp;if(I366="字符串", "string)", if(I366="数值", "int)", if(I366="布尔", "bool)", "int)time")))&amp;" _, //"&amp;G366&amp;", 如: "&amp;H366</f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x14ac:dyDescent="0.25" r="367" customHeight="1" ht="18">
      <c r="A367" s="70"/>
      <c r="B367" s="71"/>
      <c r="C367" s="71"/>
      <c r="D367" s="71"/>
      <c r="E367" s="71"/>
      <c r="F367" s="30" t="s">
        <v>1210</v>
      </c>
      <c r="G367" s="30" t="s">
        <v>1211</v>
      </c>
      <c r="H367" s="10">
        <v>1000</v>
      </c>
      <c r="I367" s="9" t="s">
        <v>481</v>
      </c>
      <c r="J367" s="10">
        <f>vlookup(F367, F:I, 4, 0)=I367</f>
      </c>
      <c r="K367" s="1"/>
      <c r="L367" s="1"/>
      <c r="M367" s="19">
        <f>char(10)&amp;"'"&amp;F367&amp;"' =&gt; ("&amp;if(I367="字符串", "string)", if(I367="数值", "int)", if(I367="布尔", "bool)", "int)time")))&amp;" _, //"&amp;G367&amp;", 如: "&amp;H367</f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x14ac:dyDescent="0.25" r="368" customHeight="1" ht="18">
      <c r="A368" s="70"/>
      <c r="B368" s="71"/>
      <c r="C368" s="71"/>
      <c r="D368" s="71"/>
      <c r="E368" s="71"/>
      <c r="F368" s="30" t="s">
        <v>949</v>
      </c>
      <c r="G368" s="30" t="s">
        <v>950</v>
      </c>
      <c r="H368" s="10">
        <v>1000</v>
      </c>
      <c r="I368" s="9" t="s">
        <v>481</v>
      </c>
      <c r="J368" s="10">
        <f>vlookup(F368, F:I, 4, 0)=I368</f>
      </c>
      <c r="K368" s="1"/>
      <c r="L368" s="1"/>
      <c r="M368" s="19">
        <f>char(10)&amp;"'"&amp;F368&amp;"' =&gt; ("&amp;if(I368="字符串", "string)", if(I368="数值", "int)", if(I368="布尔", "bool)", "int)time")))&amp;" _, //"&amp;G368&amp;", 如: "&amp;H368</f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x14ac:dyDescent="0.25" r="369" customHeight="1" ht="18">
      <c r="A369" s="70"/>
      <c r="B369" s="71"/>
      <c r="C369" s="71"/>
      <c r="D369" s="71"/>
      <c r="E369" s="71"/>
      <c r="F369" s="9" t="s">
        <v>1212</v>
      </c>
      <c r="G369" s="30" t="s">
        <v>1213</v>
      </c>
      <c r="H369" s="118">
        <v>5</v>
      </c>
      <c r="I369" s="9" t="s">
        <v>481</v>
      </c>
      <c r="J369" s="10">
        <f>vlookup(F369, F:I, 4, 0)=I369</f>
      </c>
      <c r="K369" s="1"/>
      <c r="L369" s="1"/>
      <c r="M369" s="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x14ac:dyDescent="0.25" r="370" customHeight="1" ht="18">
      <c r="A370" s="70"/>
      <c r="B370" s="71"/>
      <c r="C370" s="71"/>
      <c r="D370" s="71"/>
      <c r="E370" s="71"/>
      <c r="F370" s="9" t="s">
        <v>1214</v>
      </c>
      <c r="G370" s="30" t="s">
        <v>1215</v>
      </c>
      <c r="H370" s="118">
        <v>5</v>
      </c>
      <c r="I370" s="9" t="s">
        <v>481</v>
      </c>
      <c r="J370" s="10">
        <f>vlookup(F370, F:I, 4, 0)=I370</f>
      </c>
      <c r="K370" s="1"/>
      <c r="L370" s="1"/>
      <c r="M370" s="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x14ac:dyDescent="0.25" r="371" customHeight="1" ht="18">
      <c r="A371" s="70"/>
      <c r="B371" s="71"/>
      <c r="C371" s="71"/>
      <c r="D371" s="71"/>
      <c r="E371" s="71"/>
      <c r="F371" s="9" t="s">
        <v>1216</v>
      </c>
      <c r="G371" s="33" t="s">
        <v>1217</v>
      </c>
      <c r="H371" s="118">
        <v>5</v>
      </c>
      <c r="I371" s="9" t="s">
        <v>481</v>
      </c>
      <c r="J371" s="10">
        <f>vlookup(F371, F:I, 4, 0)=I371</f>
      </c>
      <c r="K371" s="1"/>
      <c r="L371" s="1"/>
      <c r="M371" s="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x14ac:dyDescent="0.25" r="372" customHeight="1" ht="18">
      <c r="A372" s="70"/>
      <c r="B372" s="71"/>
      <c r="C372" s="71"/>
      <c r="D372" s="71"/>
      <c r="E372" s="71"/>
      <c r="F372" s="9" t="s">
        <v>1218</v>
      </c>
      <c r="G372" s="30" t="s">
        <v>1219</v>
      </c>
      <c r="H372" s="118">
        <v>5</v>
      </c>
      <c r="I372" s="9" t="s">
        <v>481</v>
      </c>
      <c r="J372" s="10">
        <f>vlookup(F372, F:I, 4, 0)=I372</f>
      </c>
      <c r="K372" s="1"/>
      <c r="L372" s="1"/>
      <c r="M372" s="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x14ac:dyDescent="0.25" r="373" customHeight="1" ht="18">
      <c r="A373" s="70"/>
      <c r="B373" s="71"/>
      <c r="C373" s="71"/>
      <c r="D373" s="71"/>
      <c r="E373" s="71"/>
      <c r="F373" s="9" t="s">
        <v>1220</v>
      </c>
      <c r="G373" s="9" t="s">
        <v>1221</v>
      </c>
      <c r="H373" s="10">
        <v>1000</v>
      </c>
      <c r="I373" s="9" t="s">
        <v>481</v>
      </c>
      <c r="J373" s="10">
        <f>vlookup(F373, F:I, 4, 0)=I373</f>
      </c>
      <c r="K373" s="1"/>
      <c r="L373" s="1"/>
      <c r="M373" s="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x14ac:dyDescent="0.25" r="374" customHeight="1" ht="18">
      <c r="A374" s="70"/>
      <c r="B374" s="71"/>
      <c r="C374" s="71"/>
      <c r="D374" s="71"/>
      <c r="E374" s="71"/>
      <c r="F374" s="30" t="s">
        <v>1222</v>
      </c>
      <c r="G374" s="30" t="s">
        <v>1223</v>
      </c>
      <c r="H374" s="10">
        <v>1</v>
      </c>
      <c r="I374" s="9" t="s">
        <v>481</v>
      </c>
      <c r="J374" s="10">
        <f>vlookup(F374, F:I, 4, 0)=I374</f>
      </c>
      <c r="K374" s="1"/>
      <c r="L374" s="1"/>
      <c r="M374" s="19">
        <f>char(10)&amp;"'"&amp;F374&amp;"' =&gt; ("&amp;if(I374="字符串", "string)", if(I374="数值", "int)", if(I374="布尔", "bool)", "int)time")))&amp;" _, //"&amp;G374&amp;", 如: "&amp;H374</f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x14ac:dyDescent="0.25" r="375" customHeight="1" ht="18">
      <c r="A375" s="70"/>
      <c r="B375" s="71"/>
      <c r="C375" s="71"/>
      <c r="D375" s="71"/>
      <c r="E375" s="71"/>
      <c r="F375" s="30" t="s">
        <v>1224</v>
      </c>
      <c r="G375" s="30" t="s">
        <v>1225</v>
      </c>
      <c r="H375" s="10">
        <v>1</v>
      </c>
      <c r="I375" s="9" t="s">
        <v>481</v>
      </c>
      <c r="J375" s="10">
        <f>vlookup(F375, F:I, 4, 0)=I375</f>
      </c>
      <c r="K375" s="1"/>
      <c r="L375" s="1"/>
      <c r="M375" s="19">
        <f>char(10)&amp;"'"&amp;F375&amp;"' =&gt; ("&amp;if(I375="字符串", "string)", if(I375="数值", "int)", if(I375="布尔", "bool)", "int)time")))&amp;" _, //"&amp;G375&amp;", 如: "&amp;H375</f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x14ac:dyDescent="0.25" r="376" customHeight="1" ht="18">
      <c r="A376" s="70"/>
      <c r="B376" s="71"/>
      <c r="C376" s="71"/>
      <c r="D376" s="71"/>
      <c r="E376" s="71"/>
      <c r="F376" s="30" t="s">
        <v>1226</v>
      </c>
      <c r="G376" s="30" t="s">
        <v>1227</v>
      </c>
      <c r="H376" s="10">
        <v>1</v>
      </c>
      <c r="I376" s="9" t="s">
        <v>481</v>
      </c>
      <c r="J376" s="10">
        <f>vlookup(F376, F:I, 4, 0)=I376</f>
      </c>
      <c r="K376" s="1"/>
      <c r="L376" s="1"/>
      <c r="M376" s="19">
        <f>char(10)&amp;"'"&amp;F376&amp;"' =&gt; ("&amp;if(I376="字符串", "string)", if(I376="数值", "int)", if(I376="布尔", "bool)", "int)time")))&amp;" _, //"&amp;G376&amp;", 如: "&amp;H376</f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x14ac:dyDescent="0.25" r="377" customHeight="1" ht="18">
      <c r="A377" s="70"/>
      <c r="B377" s="71"/>
      <c r="C377" s="71"/>
      <c r="D377" s="71"/>
      <c r="E377" s="71"/>
      <c r="F377" s="9" t="s">
        <v>1228</v>
      </c>
      <c r="G377" s="30" t="s">
        <v>1229</v>
      </c>
      <c r="H377" s="10">
        <v>1</v>
      </c>
      <c r="I377" s="9" t="s">
        <v>481</v>
      </c>
      <c r="J377" s="10">
        <f>vlookup(F377, F:I, 4, 0)=I377</f>
      </c>
      <c r="K377" s="1"/>
      <c r="L377" s="1"/>
      <c r="M377" s="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x14ac:dyDescent="0.25" r="378" customHeight="1" ht="18">
      <c r="A378" s="70"/>
      <c r="B378" s="71"/>
      <c r="C378" s="71"/>
      <c r="D378" s="71"/>
      <c r="E378" s="71"/>
      <c r="F378" s="9" t="s">
        <v>1230</v>
      </c>
      <c r="G378" s="30" t="s">
        <v>1231</v>
      </c>
      <c r="H378" s="10">
        <v>1</v>
      </c>
      <c r="I378" s="9" t="s">
        <v>481</v>
      </c>
      <c r="J378" s="10">
        <f>vlookup(F378, F:I, 4, 0)=I378</f>
      </c>
      <c r="K378" s="1"/>
      <c r="L378" s="1"/>
      <c r="M378" s="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x14ac:dyDescent="0.25" r="379" customHeight="1" ht="18">
      <c r="A379" s="70"/>
      <c r="B379" s="71"/>
      <c r="C379" s="71"/>
      <c r="D379" s="71"/>
      <c r="E379" s="71"/>
      <c r="F379" s="9" t="s">
        <v>1232</v>
      </c>
      <c r="G379" s="119" t="s">
        <v>1233</v>
      </c>
      <c r="H379" s="10">
        <v>2</v>
      </c>
      <c r="I379" s="9" t="s">
        <v>481</v>
      </c>
      <c r="J379" s="10">
        <f>vlookup(F379, F:I, 4, 0)=I379</f>
      </c>
      <c r="K379" s="1"/>
      <c r="L379" s="1"/>
      <c r="M379" s="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x14ac:dyDescent="0.25" r="380" customHeight="1" ht="18">
      <c r="A380" s="70"/>
      <c r="B380" s="71"/>
      <c r="C380" s="71"/>
      <c r="D380" s="71"/>
      <c r="E380" s="71"/>
      <c r="F380" s="9" t="s">
        <v>1234</v>
      </c>
      <c r="G380" s="119" t="s">
        <v>1235</v>
      </c>
      <c r="H380" s="10">
        <v>3</v>
      </c>
      <c r="I380" s="9" t="s">
        <v>481</v>
      </c>
      <c r="J380" s="10">
        <f>vlookup(F380, F:I, 4, 0)=I380</f>
      </c>
      <c r="K380" s="1"/>
      <c r="L380" s="1"/>
      <c r="M380" s="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x14ac:dyDescent="0.25" r="381" customHeight="1" ht="18">
      <c r="A381" s="70"/>
      <c r="B381" s="71"/>
      <c r="C381" s="71"/>
      <c r="D381" s="71"/>
      <c r="E381" s="71"/>
      <c r="F381" s="9" t="s">
        <v>1236</v>
      </c>
      <c r="G381" s="119" t="s">
        <v>1237</v>
      </c>
      <c r="H381" s="10">
        <v>3</v>
      </c>
      <c r="I381" s="9" t="s">
        <v>481</v>
      </c>
      <c r="J381" s="10">
        <f>vlookup(F381, F:I, 4, 0)=I381</f>
      </c>
      <c r="K381" s="1"/>
      <c r="L381" s="1"/>
      <c r="M381" s="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x14ac:dyDescent="0.25" r="382" customHeight="1" ht="18">
      <c r="A382" s="70"/>
      <c r="B382" s="71"/>
      <c r="C382" s="71"/>
      <c r="D382" s="71"/>
      <c r="E382" s="71"/>
      <c r="F382" s="9" t="s">
        <v>1238</v>
      </c>
      <c r="G382" s="119" t="s">
        <v>1239</v>
      </c>
      <c r="H382" s="10">
        <v>3</v>
      </c>
      <c r="I382" s="9" t="s">
        <v>481</v>
      </c>
      <c r="J382" s="10">
        <f>vlookup(F382, F:I, 4, 0)=I382</f>
      </c>
      <c r="K382" s="1"/>
      <c r="L382" s="1"/>
      <c r="M382" s="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x14ac:dyDescent="0.25" r="383" customHeight="1" ht="18">
      <c r="A383" s="70"/>
      <c r="B383" s="71"/>
      <c r="C383" s="71"/>
      <c r="D383" s="71"/>
      <c r="E383" s="71"/>
      <c r="F383" s="9" t="s">
        <v>1240</v>
      </c>
      <c r="G383" s="119" t="s">
        <v>1241</v>
      </c>
      <c r="H383" s="118">
        <v>0.01</v>
      </c>
      <c r="I383" s="9" t="s">
        <v>481</v>
      </c>
      <c r="J383" s="10">
        <f>vlookup(F383, F:I, 4, 0)=I383</f>
      </c>
      <c r="K383" s="1"/>
      <c r="L383" s="1"/>
      <c r="M383" s="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x14ac:dyDescent="0.25" r="384" customHeight="1" ht="18">
      <c r="A384" s="70"/>
      <c r="B384" s="71"/>
      <c r="C384" s="71"/>
      <c r="D384" s="71"/>
      <c r="E384" s="71"/>
      <c r="F384" s="20" t="s">
        <v>1242</v>
      </c>
      <c r="G384" s="120" t="s">
        <v>1243</v>
      </c>
      <c r="H384" s="121">
        <v>0.01</v>
      </c>
      <c r="I384" s="20" t="s">
        <v>481</v>
      </c>
      <c r="J384" s="37">
        <f>vlookup(F384, F:I, 4, 0)=I384</f>
      </c>
      <c r="K384" s="1"/>
      <c r="L384" s="1"/>
      <c r="M384" s="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x14ac:dyDescent="0.25" r="385" customHeight="1" ht="18">
      <c r="A385" s="70"/>
      <c r="B385" s="71"/>
      <c r="C385" s="71"/>
      <c r="D385" s="71"/>
      <c r="E385" s="73"/>
      <c r="F385" s="9" t="s">
        <v>1244</v>
      </c>
      <c r="G385" s="30" t="s">
        <v>1062</v>
      </c>
      <c r="H385" s="118">
        <v>0.01</v>
      </c>
      <c r="I385" s="9" t="s">
        <v>481</v>
      </c>
      <c r="J385" s="122">
        <f>vlookup(F385, F:I, 4, 0)=I385</f>
      </c>
      <c r="K385" s="1"/>
      <c r="L385" s="1"/>
      <c r="M385" s="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x14ac:dyDescent="0.25" r="386" customHeight="1" ht="18">
      <c r="A386" s="70"/>
      <c r="B386" s="71"/>
      <c r="C386" s="71"/>
      <c r="D386" s="71"/>
      <c r="E386" s="73"/>
      <c r="F386" s="9" t="s">
        <v>1245</v>
      </c>
      <c r="G386" s="30" t="s">
        <v>1246</v>
      </c>
      <c r="H386" s="118">
        <v>0.01</v>
      </c>
      <c r="I386" s="9" t="s">
        <v>481</v>
      </c>
      <c r="J386" s="122">
        <f>vlookup(F386, F:I, 4, 0)=I386</f>
      </c>
      <c r="K386" s="1"/>
      <c r="L386" s="1"/>
      <c r="M386" s="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x14ac:dyDescent="0.25" r="387" customHeight="1" ht="18">
      <c r="A387" s="70"/>
      <c r="B387" s="71"/>
      <c r="C387" s="71"/>
      <c r="D387" s="71"/>
      <c r="E387" s="73"/>
      <c r="F387" s="9" t="s">
        <v>1247</v>
      </c>
      <c r="G387" s="68" t="s">
        <v>1248</v>
      </c>
      <c r="H387" s="69">
        <v>123124124</v>
      </c>
      <c r="I387" s="68" t="s">
        <v>481</v>
      </c>
      <c r="J387" s="122">
        <f>vlookup(F387, F:I, 4, 0)=I387</f>
      </c>
      <c r="K387" s="1"/>
      <c r="L387" s="1"/>
      <c r="M387" s="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x14ac:dyDescent="0.25" r="388" customHeight="1" ht="18">
      <c r="A388" s="97"/>
      <c r="B388" s="81"/>
      <c r="C388" s="81"/>
      <c r="D388" s="81"/>
      <c r="E388" s="85"/>
      <c r="F388" s="9" t="s">
        <v>1249</v>
      </c>
      <c r="G388" s="123" t="s">
        <v>1250</v>
      </c>
      <c r="H388" s="124">
        <v>111</v>
      </c>
      <c r="I388" s="68" t="s">
        <v>481</v>
      </c>
      <c r="J388" s="122">
        <f>vlookup(F388, F:I, 4, 0)=I388</f>
      </c>
      <c r="K388" s="1"/>
      <c r="L388" s="1"/>
      <c r="M388" s="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x14ac:dyDescent="0.25" r="389" customHeight="1" ht="18">
      <c r="A389" s="34" t="s">
        <v>1251</v>
      </c>
      <c r="B389" s="66" t="s">
        <v>1252</v>
      </c>
      <c r="C389" s="125" t="s">
        <v>1253</v>
      </c>
      <c r="D389" s="96" t="s">
        <v>1251</v>
      </c>
      <c r="E389" s="96" t="s">
        <v>1254</v>
      </c>
      <c r="F389" s="103" t="s">
        <v>938</v>
      </c>
      <c r="G389" s="102" t="s">
        <v>939</v>
      </c>
      <c r="H389" s="122" t="s">
        <v>1255</v>
      </c>
      <c r="I389" s="102" t="s">
        <v>460</v>
      </c>
      <c r="J389" s="122">
        <f>vlookup(F389, F:I, 4, 0)=I389</f>
      </c>
      <c r="K389" s="1"/>
      <c r="L389" s="1"/>
      <c r="M389" s="19">
        <f>char(10)&amp;"'"&amp;F389&amp;"' =&gt; ("&amp;if(I389="字符串", "string)", if(I389="数值", "int)", if(I389="布尔", "bool)", "int)time")))&amp;" _, //"&amp;G389&amp;", 如: "&amp;H389</f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x14ac:dyDescent="0.25" r="390" customHeight="1" ht="18">
      <c r="A390" s="9"/>
      <c r="B390" s="71"/>
      <c r="C390" s="58"/>
      <c r="D390" s="35"/>
      <c r="E390" s="35"/>
      <c r="F390" s="9" t="s">
        <v>1256</v>
      </c>
      <c r="G390" s="9" t="s">
        <v>1257</v>
      </c>
      <c r="H390" s="10">
        <v>1</v>
      </c>
      <c r="I390" s="9" t="s">
        <v>460</v>
      </c>
      <c r="J390" s="10">
        <f>vlookup(F390, F:I, 4, 0)=I390</f>
      </c>
      <c r="K390" s="1"/>
      <c r="L390" s="1"/>
      <c r="M390" s="19">
        <f>char(10)&amp;"'"&amp;F390&amp;"' =&gt; ("&amp;if(I390="字符串", "string)", if(I390="数值", "int)", if(I390="布尔", "bool)", "int)time")))&amp;" _, //"&amp;G390&amp;", 如: "&amp;H390</f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x14ac:dyDescent="0.25" r="391" customHeight="1" ht="18">
      <c r="A391" s="9"/>
      <c r="B391" s="71"/>
      <c r="C391" s="58"/>
      <c r="D391" s="35"/>
      <c r="E391" s="35"/>
      <c r="F391" s="9" t="s">
        <v>1258</v>
      </c>
      <c r="G391" s="9" t="s">
        <v>1259</v>
      </c>
      <c r="H391" s="10">
        <v>0</v>
      </c>
      <c r="I391" s="9" t="s">
        <v>460</v>
      </c>
      <c r="J391" s="10">
        <f>vlookup(F391, F:I, 4, 0)=I391</f>
      </c>
      <c r="K391" s="1"/>
      <c r="L391" s="1"/>
      <c r="M391" s="19">
        <f>char(10)&amp;"'"&amp;F391&amp;"' =&gt; ("&amp;if(I391="字符串", "string)", if(I391="数值", "int)", if(I391="布尔", "bool)", "int)time")))&amp;" _, //"&amp;G391&amp;", 如: "&amp;H391</f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x14ac:dyDescent="0.25" r="392" customHeight="1" ht="18">
      <c r="A392" s="9"/>
      <c r="B392" s="71"/>
      <c r="C392" s="58"/>
      <c r="D392" s="35"/>
      <c r="E392" s="35"/>
      <c r="F392" s="9" t="s">
        <v>1260</v>
      </c>
      <c r="G392" s="9" t="s">
        <v>1261</v>
      </c>
      <c r="H392" s="10" t="s">
        <v>1262</v>
      </c>
      <c r="I392" s="9" t="s">
        <v>460</v>
      </c>
      <c r="J392" s="10">
        <f>vlookup(F392, F:I, 4, 0)=I392</f>
      </c>
      <c r="K392" s="1"/>
      <c r="L392" s="1"/>
      <c r="M392" s="19">
        <f>char(10)&amp;"'"&amp;F392&amp;"' =&gt; ("&amp;if(I392="字符串", "string)", if(I392="数值", "int)", if(I392="布尔", "bool)", "int)time")))&amp;" _, //"&amp;G392&amp;", 如: "&amp;H392</f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x14ac:dyDescent="0.25" r="393" customHeight="1" ht="18">
      <c r="A393" s="20"/>
      <c r="B393" s="81"/>
      <c r="C393" s="59"/>
      <c r="D393" s="57"/>
      <c r="E393" s="57"/>
      <c r="F393" s="20" t="s">
        <v>634</v>
      </c>
      <c r="G393" s="20" t="s">
        <v>635</v>
      </c>
      <c r="H393" s="26" t="s">
        <v>1263</v>
      </c>
      <c r="I393" s="20" t="s">
        <v>460</v>
      </c>
      <c r="J393" s="10">
        <f>vlookup(F393, F:I, 4, 0)=I393</f>
      </c>
      <c r="K393" s="1"/>
      <c r="L393" s="1"/>
      <c r="M393" s="19">
        <f>char(10)&amp;"'"&amp;F393&amp;"' =&gt; ("&amp;if(I393="字符串", "string)", if(I393="数值", "int)", if(I393="布尔", "bool)", "int)time")))&amp;" _, //"&amp;G393&amp;", 如: "&amp;H393</f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x14ac:dyDescent="0.25" r="394" customHeight="1" ht="18">
      <c r="A394" s="34" t="s">
        <v>79</v>
      </c>
      <c r="B394" s="66" t="s">
        <v>1264</v>
      </c>
      <c r="C394" s="66" t="s">
        <v>1265</v>
      </c>
      <c r="D394" s="34" t="s">
        <v>79</v>
      </c>
      <c r="E394" s="34" t="s">
        <v>1266</v>
      </c>
      <c r="F394" s="30" t="s">
        <v>1267</v>
      </c>
      <c r="G394" s="30" t="s">
        <v>1268</v>
      </c>
      <c r="H394" s="22" t="s">
        <v>1269</v>
      </c>
      <c r="I394" s="20" t="s">
        <v>460</v>
      </c>
      <c r="J394" s="10">
        <f>vlookup(F394, F:I, 4, 0)=I394</f>
      </c>
      <c r="K394" s="1"/>
      <c r="L394" s="1"/>
      <c r="M394" s="19">
        <f>char(10)&amp;"'"&amp;F394&amp;"' =&gt; ("&amp;if(I394="字符串", "string)", if(I394="数值", "int)", if(I394="布尔", "bool)", "int)time")))&amp;" _, //"&amp;G394&amp;", 如: "&amp;H394</f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x14ac:dyDescent="0.25" r="395" customHeight="1" ht="18">
      <c r="A395" s="35"/>
      <c r="B395" s="71"/>
      <c r="C395" s="71"/>
      <c r="D395" s="35"/>
      <c r="E395" s="35"/>
      <c r="F395" s="30" t="s">
        <v>1270</v>
      </c>
      <c r="G395" s="30" t="s">
        <v>1271</v>
      </c>
      <c r="H395" s="22">
        <v>123</v>
      </c>
      <c r="I395" s="9" t="s">
        <v>481</v>
      </c>
      <c r="J395" s="10">
        <f>vlookup(F395, F:I, 4, 0)=I395</f>
      </c>
      <c r="K395" s="1"/>
      <c r="L395" s="1"/>
      <c r="M395" s="19">
        <f>char(10)&amp;"'"&amp;F395&amp;"' =&gt; ("&amp;if(I395="字符串", "string)", if(I395="数值", "int)", if(I395="布尔", "bool)", "int)time")))&amp;" _, //"&amp;G395&amp;", 如: "&amp;H395</f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x14ac:dyDescent="0.25" r="396" customHeight="1" ht="18">
      <c r="A396" s="35"/>
      <c r="B396" s="71"/>
      <c r="C396" s="71"/>
      <c r="D396" s="35"/>
      <c r="E396" s="35"/>
      <c r="F396" s="30" t="s">
        <v>1272</v>
      </c>
      <c r="G396" s="30" t="s">
        <v>1273</v>
      </c>
      <c r="H396" s="22" t="s">
        <v>1274</v>
      </c>
      <c r="I396" s="20" t="s">
        <v>460</v>
      </c>
      <c r="J396" s="10">
        <f>vlookup(F396, F:I, 4, 0)=I396</f>
      </c>
      <c r="K396" s="1"/>
      <c r="L396" s="1"/>
      <c r="M396" s="19">
        <f>char(10)&amp;"'"&amp;F396&amp;"' =&gt; ("&amp;if(I396="字符串", "string)", if(I396="数值", "int)", if(I396="布尔", "bool)", "int)time")))&amp;" _, //"&amp;G396&amp;", 如: "&amp;H396</f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x14ac:dyDescent="0.25" r="397" customHeight="1" ht="18">
      <c r="A397" s="35"/>
      <c r="B397" s="71"/>
      <c r="C397" s="71"/>
      <c r="D397" s="35"/>
      <c r="E397" s="35"/>
      <c r="F397" s="30" t="s">
        <v>1275</v>
      </c>
      <c r="G397" s="30" t="s">
        <v>1276</v>
      </c>
      <c r="H397" s="22" t="s">
        <v>1277</v>
      </c>
      <c r="I397" s="20" t="s">
        <v>460</v>
      </c>
      <c r="J397" s="122">
        <f>vlookup(F397, F:I, 4, 0)=I397</f>
      </c>
      <c r="K397" s="1"/>
      <c r="L397" s="1"/>
      <c r="M397" s="19">
        <f>char(10)&amp;"'"&amp;F397&amp;"' =&gt; ("&amp;if(I397="字符串", "string)", if(I397="数值", "int)", if(I397="布尔", "bool)", "int)time")))&amp;" _, //"&amp;G397&amp;", 如: "&amp;H397</f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x14ac:dyDescent="0.25" r="398" customHeight="1" ht="18">
      <c r="A398" s="35"/>
      <c r="B398" s="71"/>
      <c r="C398" s="71"/>
      <c r="D398" s="35"/>
      <c r="E398" s="35"/>
      <c r="F398" s="100" t="s">
        <v>701</v>
      </c>
      <c r="G398" s="100" t="s">
        <v>702</v>
      </c>
      <c r="H398" s="26" t="s">
        <v>644</v>
      </c>
      <c r="I398" s="20" t="s">
        <v>704</v>
      </c>
      <c r="J398" s="122">
        <f>vlookup(F398, F:I, 4, 0)=I398</f>
      </c>
      <c r="K398" s="1"/>
      <c r="L398" s="1"/>
      <c r="M398" s="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x14ac:dyDescent="0.25" r="399" customHeight="1" ht="18">
      <c r="A399" s="35"/>
      <c r="B399" s="71"/>
      <c r="C399" s="71"/>
      <c r="D399" s="35"/>
      <c r="E399" s="35"/>
      <c r="F399" s="100" t="s">
        <v>1278</v>
      </c>
      <c r="G399" s="126" t="s">
        <v>1279</v>
      </c>
      <c r="H399" s="127">
        <v>1</v>
      </c>
      <c r="I399" s="68" t="s">
        <v>481</v>
      </c>
      <c r="J399" s="122">
        <f>vlookup(F399, F:I, 4, 0)=I399</f>
      </c>
      <c r="K399" s="1"/>
      <c r="L399" s="1"/>
      <c r="M399" s="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x14ac:dyDescent="0.25" r="400" customHeight="1" ht="18">
      <c r="A400" s="35"/>
      <c r="B400" s="71"/>
      <c r="C400" s="71"/>
      <c r="D400" s="35"/>
      <c r="E400" s="35"/>
      <c r="F400" s="100" t="s">
        <v>1280</v>
      </c>
      <c r="G400" s="126" t="s">
        <v>1281</v>
      </c>
      <c r="H400" s="127">
        <v>1</v>
      </c>
      <c r="I400" s="68" t="s">
        <v>481</v>
      </c>
      <c r="J400" s="122">
        <f>vlookup(F400, F:I, 4, 0)=I400</f>
      </c>
      <c r="K400" s="1"/>
      <c r="L400" s="1"/>
      <c r="M400" s="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x14ac:dyDescent="0.25" r="401" customHeight="1" ht="18">
      <c r="A401" s="35"/>
      <c r="B401" s="81"/>
      <c r="C401" s="81"/>
      <c r="D401" s="35"/>
      <c r="E401" s="35"/>
      <c r="F401" s="100" t="s">
        <v>1282</v>
      </c>
      <c r="G401" s="68" t="s">
        <v>1283</v>
      </c>
      <c r="H401" s="69">
        <v>1</v>
      </c>
      <c r="I401" s="68" t="s">
        <v>481</v>
      </c>
      <c r="J401" s="122">
        <f>vlookup(F401, F:I, 4, 0)=I401</f>
      </c>
      <c r="K401" s="1"/>
      <c r="L401" s="1"/>
      <c r="M401" s="19">
        <f>char(10)&amp;"'"&amp;F401&amp;"' =&gt; ("&amp;if(I401="字符串", "string)", if(I401="数值", "int)", if(I401="布尔", "bool)", "int)time")))&amp;" _, //"&amp;G401&amp;", 如: "&amp;H401</f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x14ac:dyDescent="0.25" r="402" customHeight="1" ht="18">
      <c r="A402" s="34" t="s">
        <v>1284</v>
      </c>
      <c r="B402" s="66" t="s">
        <v>1285</v>
      </c>
      <c r="C402" s="66" t="s">
        <v>1286</v>
      </c>
      <c r="D402" s="66" t="s">
        <v>1284</v>
      </c>
      <c r="E402" s="66" t="s">
        <v>1287</v>
      </c>
      <c r="F402" s="102" t="s">
        <v>1288</v>
      </c>
      <c r="G402" s="102" t="s">
        <v>1289</v>
      </c>
      <c r="H402" s="122" t="s">
        <v>1290</v>
      </c>
      <c r="I402" s="128" t="s">
        <v>460</v>
      </c>
      <c r="J402" s="122">
        <f>vlookup(F402, F:I, 4, 0)=I402</f>
      </c>
      <c r="K402" s="1"/>
      <c r="L402" s="1"/>
      <c r="M402" s="19">
        <f>char(10)&amp;"'"&amp;F402&amp;"' =&gt; ("&amp;if(I402="字符串", "string)", if(I402="数值", "int)", if(I402="布尔", "bool)", "int)time")))&amp;" _, //"&amp;G402&amp;", 如: "&amp;H402</f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x14ac:dyDescent="0.25" r="403" customHeight="1" ht="18">
      <c r="A403" s="35"/>
      <c r="B403" s="71"/>
      <c r="C403" s="71"/>
      <c r="D403" s="71"/>
      <c r="E403" s="71"/>
      <c r="F403" s="9" t="s">
        <v>1291</v>
      </c>
      <c r="G403" s="9" t="s">
        <v>1292</v>
      </c>
      <c r="H403" s="22">
        <v>123</v>
      </c>
      <c r="I403" s="9" t="s">
        <v>481</v>
      </c>
      <c r="J403" s="10">
        <f>vlookup(F403, F:I, 4, 0)=I403</f>
      </c>
      <c r="K403" s="1"/>
      <c r="L403" s="1"/>
      <c r="M403" s="19">
        <f>char(10)&amp;"'"&amp;F403&amp;"' =&gt; ("&amp;if(I403="字符串", "string)", if(I403="数值", "int)", if(I403="布尔", "bool)", "int)time")))&amp;" _, //"&amp;G403&amp;", 如: "&amp;H403</f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x14ac:dyDescent="0.25" r="404" customHeight="1" ht="18">
      <c r="A404" s="35"/>
      <c r="B404" s="71"/>
      <c r="C404" s="71"/>
      <c r="D404" s="71"/>
      <c r="E404" s="71"/>
      <c r="F404" s="9" t="s">
        <v>1293</v>
      </c>
      <c r="G404" s="9" t="s">
        <v>1294</v>
      </c>
      <c r="H404" s="22">
        <v>123</v>
      </c>
      <c r="I404" s="30" t="s">
        <v>481</v>
      </c>
      <c r="J404" s="10">
        <f>vlookup(F404, F:I, 4, 0)=I404</f>
      </c>
      <c r="K404" s="1"/>
      <c r="L404" s="1"/>
      <c r="M404" s="19">
        <f>char(10)&amp;"'"&amp;F404&amp;"' =&gt; ("&amp;if(I404="字符串", "string)", if(I404="数值", "int)", if(I404="布尔", "bool)", "int)time")))&amp;" _, //"&amp;G404&amp;", 如: "&amp;H404</f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x14ac:dyDescent="0.25" r="405" customHeight="1" ht="18">
      <c r="A405" s="35"/>
      <c r="B405" s="71"/>
      <c r="C405" s="71"/>
      <c r="D405" s="71"/>
      <c r="E405" s="71"/>
      <c r="F405" s="9" t="s">
        <v>634</v>
      </c>
      <c r="G405" s="9" t="s">
        <v>635</v>
      </c>
      <c r="H405" s="22" t="s">
        <v>1295</v>
      </c>
      <c r="I405" s="129" t="s">
        <v>460</v>
      </c>
      <c r="J405" s="10">
        <f>vlookup(F405, F:I, 4, 0)=I405</f>
      </c>
      <c r="K405" s="1"/>
      <c r="L405" s="1"/>
      <c r="M405" s="19">
        <f>char(10)&amp;"'"&amp;F405&amp;"' =&gt; ("&amp;if(I405="字符串", "string)", if(I405="数值", "int)", if(I405="布尔", "bool)", "int)time")))&amp;" _, //"&amp;G405&amp;", 如: "&amp;H405</f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x14ac:dyDescent="0.25" r="406" customHeight="1" ht="18">
      <c r="A406" s="57"/>
      <c r="B406" s="81"/>
      <c r="C406" s="71"/>
      <c r="D406" s="71"/>
      <c r="E406" s="71"/>
      <c r="F406" s="9" t="s">
        <v>701</v>
      </c>
      <c r="G406" s="20" t="s">
        <v>702</v>
      </c>
      <c r="H406" s="37" t="s">
        <v>1296</v>
      </c>
      <c r="I406" s="9" t="s">
        <v>704</v>
      </c>
      <c r="J406" s="10">
        <f>vlookup(F406, F:I, 4, 0)=I406</f>
      </c>
      <c r="K406" s="1"/>
      <c r="L406" s="1"/>
      <c r="M406" s="19">
        <f>char(10)&amp;"'"&amp;F406&amp;"' =&gt; ("&amp;if(I406="字符串", "string)", if(I406="数值", "int)", if(I406="布尔", "bool)", "int)time")))&amp;" _, //"&amp;G406&amp;", 如: "&amp;H406</f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x14ac:dyDescent="0.25" r="407" customHeight="1" ht="18">
      <c r="A407" s="130" t="s">
        <v>1297</v>
      </c>
      <c r="B407" s="66" t="s">
        <v>1298</v>
      </c>
      <c r="C407" s="125" t="s">
        <v>1299</v>
      </c>
      <c r="D407" s="125" t="s">
        <v>1297</v>
      </c>
      <c r="E407" s="34" t="s">
        <v>1300</v>
      </c>
      <c r="F407" s="30" t="s">
        <v>1301</v>
      </c>
      <c r="G407" s="30" t="s">
        <v>1302</v>
      </c>
      <c r="H407" s="22" t="s">
        <v>1303</v>
      </c>
      <c r="I407" s="129" t="s">
        <v>460</v>
      </c>
      <c r="J407" s="10">
        <f>vlookup(F407, F:I, 4, 0)=I407</f>
      </c>
      <c r="K407" s="1"/>
      <c r="L407" s="1"/>
      <c r="M407" s="19">
        <f>char(10)&amp;"'"&amp;F407&amp;"' =&gt; ("&amp;if(I407="字符串", "string)", if(I407="数值", "int)", if(I407="布尔", "bool)", "int)time")))&amp;" _, //"&amp;G407&amp;", 如: "&amp;H407</f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x14ac:dyDescent="0.25" r="408" customHeight="1" ht="18">
      <c r="A408" s="73"/>
      <c r="B408" s="71"/>
      <c r="C408" s="58"/>
      <c r="D408" s="58"/>
      <c r="E408" s="35"/>
      <c r="F408" s="30" t="s">
        <v>1304</v>
      </c>
      <c r="G408" s="30" t="s">
        <v>1305</v>
      </c>
      <c r="H408" s="22" t="s">
        <v>734</v>
      </c>
      <c r="I408" s="129" t="s">
        <v>460</v>
      </c>
      <c r="J408" s="10">
        <f>vlookup(F408, F:I, 4, 0)=I408</f>
      </c>
      <c r="K408" s="1"/>
      <c r="L408" s="1"/>
      <c r="M408" s="19">
        <f>char(10)&amp;"'"&amp;F408&amp;"' =&gt; ("&amp;if(I408="字符串", "string)", if(I408="数值", "int)", if(I408="布尔", "bool)", "int)time")))&amp;" _, //"&amp;G408&amp;", 如: "&amp;H408</f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x14ac:dyDescent="0.25" r="409" customHeight="1" ht="18">
      <c r="A409" s="73"/>
      <c r="B409" s="71"/>
      <c r="C409" s="58"/>
      <c r="D409" s="58"/>
      <c r="E409" s="35"/>
      <c r="F409" s="30" t="s">
        <v>1306</v>
      </c>
      <c r="G409" s="9" t="s">
        <v>1307</v>
      </c>
      <c r="H409" s="22" t="s">
        <v>1308</v>
      </c>
      <c r="I409" s="129" t="s">
        <v>460</v>
      </c>
      <c r="J409" s="10">
        <f>vlookup(F409, F:I, 4, 0)=I409</f>
      </c>
      <c r="K409" s="1"/>
      <c r="L409" s="1"/>
      <c r="M409" s="19">
        <f>char(10)&amp;"'"&amp;F409&amp;"' =&gt; ("&amp;if(I409="字符串", "string)", if(I409="数值", "int)", if(I409="布尔", "bool)", "int)time")))&amp;" _, //"&amp;G409&amp;", 如: "&amp;H409</f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x14ac:dyDescent="0.25" r="410" customHeight="1" ht="18">
      <c r="A410" s="73"/>
      <c r="B410" s="71"/>
      <c r="C410" s="58"/>
      <c r="D410" s="58"/>
      <c r="E410" s="35"/>
      <c r="F410" s="30" t="s">
        <v>701</v>
      </c>
      <c r="G410" s="30" t="s">
        <v>702</v>
      </c>
      <c r="H410" s="22" t="s">
        <v>644</v>
      </c>
      <c r="I410" s="9" t="s">
        <v>704</v>
      </c>
      <c r="J410" s="10">
        <f>vlookup(F410, F:I, 4, 0)=I410</f>
      </c>
      <c r="K410" s="1"/>
      <c r="L410" s="1"/>
      <c r="M410" s="19">
        <f>char(10)&amp;"'"&amp;F410&amp;"' =&gt; ("&amp;if(I410="字符串", "string)", if(I410="数值", "int)", if(I410="布尔", "bool)", "int)time")))&amp;" _, //"&amp;G410&amp;", 如: "&amp;H410</f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x14ac:dyDescent="0.25" r="411" customHeight="1" ht="18">
      <c r="A411" s="73"/>
      <c r="B411" s="71"/>
      <c r="C411" s="58"/>
      <c r="D411" s="58"/>
      <c r="E411" s="35"/>
      <c r="F411" s="30" t="s">
        <v>1309</v>
      </c>
      <c r="G411" s="30" t="s">
        <v>1310</v>
      </c>
      <c r="H411" s="22">
        <v>1</v>
      </c>
      <c r="I411" s="9" t="s">
        <v>481</v>
      </c>
      <c r="J411" s="10">
        <f>vlookup(F411, F:I, 4, 0)=I411</f>
      </c>
      <c r="K411" s="1"/>
      <c r="L411" s="1"/>
      <c r="M411" s="19">
        <f>char(10)&amp;"'"&amp;F411&amp;"' =&gt; ("&amp;if(I411="字符串", "string)", if(I411="数值", "int)", if(I411="布尔", "bool)", "int)time")))&amp;" _, //"&amp;G411&amp;", 如: "&amp;H411</f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x14ac:dyDescent="0.25" r="412" customHeight="1" ht="18">
      <c r="A412" s="73"/>
      <c r="B412" s="71"/>
      <c r="C412" s="58"/>
      <c r="D412" s="58"/>
      <c r="E412" s="35"/>
      <c r="F412" s="30" t="s">
        <v>1311</v>
      </c>
      <c r="G412" s="30" t="s">
        <v>1312</v>
      </c>
      <c r="H412" s="22">
        <v>2</v>
      </c>
      <c r="I412" s="30" t="s">
        <v>481</v>
      </c>
      <c r="J412" s="10">
        <f>vlookup(F412, F:I, 4, 0)=I412</f>
      </c>
      <c r="K412" s="1"/>
      <c r="L412" s="1"/>
      <c r="M412" s="19">
        <f>char(10)&amp;"'"&amp;F412&amp;"' =&gt; ("&amp;if(I412="字符串", "string)", if(I412="数值", "int)", if(I412="布尔", "bool)", "int)time")))&amp;" _, //"&amp;G412&amp;", 如: "&amp;H412</f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x14ac:dyDescent="0.25" r="413" customHeight="1" ht="18">
      <c r="A413" s="73"/>
      <c r="B413" s="71"/>
      <c r="C413" s="125" t="s">
        <v>1313</v>
      </c>
      <c r="D413" s="125" t="s">
        <v>1314</v>
      </c>
      <c r="E413" s="34" t="s">
        <v>1315</v>
      </c>
      <c r="F413" s="30" t="s">
        <v>1316</v>
      </c>
      <c r="G413" s="30" t="s">
        <v>1317</v>
      </c>
      <c r="H413" s="22" t="s">
        <v>1303</v>
      </c>
      <c r="I413" s="129" t="s">
        <v>460</v>
      </c>
      <c r="J413" s="10">
        <f>vlookup(F413, F:I, 4, 0)=I413</f>
      </c>
      <c r="K413" s="1"/>
      <c r="L413" s="1"/>
      <c r="M413" s="19">
        <f>char(10)&amp;"'"&amp;F413&amp;"' =&gt; ("&amp;if(I413="字符串", "string)", if(I413="数值", "int)", if(I413="布尔", "bool)", "int)time")))&amp;" _, //"&amp;G413&amp;", 如: "&amp;H413</f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x14ac:dyDescent="0.25" r="414" customHeight="1" ht="18">
      <c r="A414" s="73"/>
      <c r="B414" s="71"/>
      <c r="C414" s="58"/>
      <c r="D414" s="58"/>
      <c r="E414" s="35"/>
      <c r="F414" s="30" t="s">
        <v>1318</v>
      </c>
      <c r="G414" s="30" t="s">
        <v>1319</v>
      </c>
      <c r="H414" s="22" t="s">
        <v>734</v>
      </c>
      <c r="I414" s="129" t="s">
        <v>460</v>
      </c>
      <c r="J414" s="10">
        <f>vlookup(F414, F:I, 4, 0)=I414</f>
      </c>
      <c r="K414" s="1"/>
      <c r="L414" s="1"/>
      <c r="M414" s="19">
        <f>char(10)&amp;"'"&amp;F414&amp;"' =&gt; ("&amp;if(I414="字符串", "string)", if(I414="数值", "int)", if(I414="布尔", "bool)", "int)time")))&amp;" _, //"&amp;G414&amp;", 如: "&amp;H414</f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x14ac:dyDescent="0.25" r="415" customHeight="1" ht="18">
      <c r="A415" s="73"/>
      <c r="B415" s="71"/>
      <c r="C415" s="58"/>
      <c r="D415" s="58"/>
      <c r="E415" s="35"/>
      <c r="F415" s="30" t="s">
        <v>1320</v>
      </c>
      <c r="G415" s="9" t="s">
        <v>1321</v>
      </c>
      <c r="H415" s="22" t="s">
        <v>1308</v>
      </c>
      <c r="I415" s="129" t="s">
        <v>460</v>
      </c>
      <c r="J415" s="10">
        <f>vlookup(F415, F:I, 4, 0)=I415</f>
      </c>
      <c r="K415" s="1"/>
      <c r="L415" s="1"/>
      <c r="M415" s="19">
        <f>char(10)&amp;"'"&amp;F415&amp;"' =&gt; ("&amp;if(I415="字符串", "string)", if(I415="数值", "int)", if(I415="布尔", "bool)", "int)time")))&amp;" _, //"&amp;G415&amp;", 如: "&amp;H415</f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x14ac:dyDescent="0.25" r="416" customHeight="1" ht="18">
      <c r="A416" s="73"/>
      <c r="B416" s="71"/>
      <c r="C416" s="58"/>
      <c r="D416" s="58"/>
      <c r="E416" s="35"/>
      <c r="F416" s="30" t="s">
        <v>1322</v>
      </c>
      <c r="G416" s="30" t="s">
        <v>1323</v>
      </c>
      <c r="H416" s="22" t="s">
        <v>1324</v>
      </c>
      <c r="I416" s="129" t="s">
        <v>460</v>
      </c>
      <c r="J416" s="10">
        <f>vlookup(F416, F:I, 4, 0)=I416</f>
      </c>
      <c r="K416" s="1"/>
      <c r="L416" s="1"/>
      <c r="M416" s="19">
        <f>char(10)&amp;"'"&amp;F416&amp;"' =&gt; ("&amp;if(I416="字符串", "string)", if(I416="数值", "int)", if(I416="布尔", "bool)", "int)time")))&amp;" _, //"&amp;G416&amp;", 如: "&amp;H416</f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x14ac:dyDescent="0.25" r="417" customHeight="1" ht="18">
      <c r="A417" s="73"/>
      <c r="B417" s="71"/>
      <c r="C417" s="58"/>
      <c r="D417" s="58"/>
      <c r="E417" s="35"/>
      <c r="F417" s="30" t="s">
        <v>1325</v>
      </c>
      <c r="G417" s="30" t="s">
        <v>1326</v>
      </c>
      <c r="H417" s="22" t="s">
        <v>1327</v>
      </c>
      <c r="I417" s="129" t="s">
        <v>460</v>
      </c>
      <c r="J417" s="10">
        <f>vlookup(F417, F:I, 4, 0)=I417</f>
      </c>
      <c r="K417" s="1"/>
      <c r="L417" s="1"/>
      <c r="M417" s="19">
        <f>char(10)&amp;"'"&amp;F417&amp;"' =&gt; ("&amp;if(I417="字符串", "string)", if(I417="数值", "int)", if(I417="布尔", "bool)", "int)time")))&amp;" _, //"&amp;G417&amp;", 如: "&amp;H417</f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x14ac:dyDescent="0.25" r="418" customHeight="1" ht="18">
      <c r="A418" s="73"/>
      <c r="B418" s="71"/>
      <c r="C418" s="125" t="s">
        <v>519</v>
      </c>
      <c r="D418" s="125" t="s">
        <v>520</v>
      </c>
      <c r="E418" s="34" t="s">
        <v>1328</v>
      </c>
      <c r="F418" s="30" t="s">
        <v>628</v>
      </c>
      <c r="G418" s="30" t="s">
        <v>629</v>
      </c>
      <c r="H418" s="22">
        <v>1</v>
      </c>
      <c r="I418" s="9" t="s">
        <v>481</v>
      </c>
      <c r="J418" s="10">
        <f>vlookup(F418, F:I, 4, 0)=I418</f>
      </c>
      <c r="K418" s="1"/>
      <c r="L418" s="1"/>
      <c r="M418" s="19">
        <f>char(10)&amp;"'"&amp;F418&amp;"' =&gt; ("&amp;if(I418="字符串", "string)", if(I418="数值", "int)", if(I418="布尔", "bool)", "int)time")))&amp;" _, //"&amp;G418&amp;", 如: "&amp;H418</f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x14ac:dyDescent="0.25" r="419" customHeight="1" ht="18">
      <c r="A419" s="73"/>
      <c r="B419" s="71"/>
      <c r="C419" s="59"/>
      <c r="D419" s="59"/>
      <c r="E419" s="57"/>
      <c r="F419" s="20" t="s">
        <v>632</v>
      </c>
      <c r="G419" s="100" t="s">
        <v>633</v>
      </c>
      <c r="H419" s="26">
        <v>2</v>
      </c>
      <c r="I419" s="100" t="s">
        <v>481</v>
      </c>
      <c r="J419" s="10">
        <f>vlookup(F419, F:I, 4, 0)=I419</f>
      </c>
      <c r="K419" s="1"/>
      <c r="L419" s="1"/>
      <c r="M419" s="19">
        <f>char(10)&amp;"'"&amp;F419&amp;"' =&gt; ("&amp;if(I419="字符串", "string)", if(I419="数值", "int)", if(I419="布尔", "bool)", "int)time")))&amp;" _, //"&amp;G419&amp;", 如: "&amp;H419</f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x14ac:dyDescent="0.25" r="420" customHeight="1" ht="18">
      <c r="A420" s="34" t="s">
        <v>758</v>
      </c>
      <c r="B420" s="34" t="s">
        <v>1329</v>
      </c>
      <c r="C420" s="34" t="s">
        <v>1330</v>
      </c>
      <c r="D420" s="34" t="s">
        <v>1331</v>
      </c>
      <c r="E420" s="34" t="s">
        <v>1332</v>
      </c>
      <c r="F420" s="9" t="s">
        <v>630</v>
      </c>
      <c r="G420" s="9" t="s">
        <v>631</v>
      </c>
      <c r="H420" s="22">
        <v>1</v>
      </c>
      <c r="I420" s="30" t="s">
        <v>481</v>
      </c>
      <c r="J420" s="10">
        <f>vlookup(F420, F:I, 4, 0)=I420</f>
      </c>
      <c r="K420" s="1"/>
      <c r="L420" s="1"/>
      <c r="M420" s="1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x14ac:dyDescent="0.25" r="421" customHeight="1" ht="18">
      <c r="A421" s="35"/>
      <c r="B421" s="35"/>
      <c r="C421" s="35"/>
      <c r="D421" s="35"/>
      <c r="E421" s="35"/>
      <c r="F421" s="9" t="s">
        <v>628</v>
      </c>
      <c r="G421" s="9" t="s">
        <v>629</v>
      </c>
      <c r="H421" s="22">
        <v>1</v>
      </c>
      <c r="I421" s="30" t="s">
        <v>481</v>
      </c>
      <c r="J421" s="10">
        <f>vlookup(F421, F:I, 4, 0)=I421</f>
      </c>
      <c r="K421" s="1"/>
      <c r="L421" s="1"/>
      <c r="M421" s="1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x14ac:dyDescent="0.25" r="422" customHeight="1" ht="18">
      <c r="A422" s="35"/>
      <c r="B422" s="35"/>
      <c r="C422" s="35"/>
      <c r="D422" s="35"/>
      <c r="E422" s="35"/>
      <c r="F422" s="9" t="s">
        <v>632</v>
      </c>
      <c r="G422" s="9" t="s">
        <v>633</v>
      </c>
      <c r="H422" s="22">
        <v>2</v>
      </c>
      <c r="I422" s="30" t="s">
        <v>481</v>
      </c>
      <c r="J422" s="10">
        <f>vlookup(F422, F:I, 4, 0)=I422</f>
      </c>
      <c r="K422" s="1"/>
      <c r="L422" s="1"/>
      <c r="M422" s="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x14ac:dyDescent="0.25" r="423" customHeight="1" ht="18">
      <c r="A423" s="35"/>
      <c r="B423" s="35"/>
      <c r="C423" s="35"/>
      <c r="D423" s="35"/>
      <c r="E423" s="35"/>
      <c r="F423" s="9" t="s">
        <v>1333</v>
      </c>
      <c r="G423" s="9" t="s">
        <v>1334</v>
      </c>
      <c r="H423" s="22">
        <v>1</v>
      </c>
      <c r="I423" s="30" t="s">
        <v>481</v>
      </c>
      <c r="J423" s="10">
        <f>vlookup(F423, F:I, 4, 0)=I423</f>
      </c>
      <c r="K423" s="1"/>
      <c r="L423" s="1"/>
      <c r="M423" s="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x14ac:dyDescent="0.25" r="424" customHeight="1" ht="18">
      <c r="A424" s="35"/>
      <c r="B424" s="35"/>
      <c r="C424" s="35"/>
      <c r="D424" s="35"/>
      <c r="E424" s="35"/>
      <c r="F424" s="9" t="s">
        <v>1335</v>
      </c>
      <c r="G424" s="9" t="s">
        <v>758</v>
      </c>
      <c r="H424" s="22" t="s">
        <v>1229</v>
      </c>
      <c r="I424" s="129" t="s">
        <v>460</v>
      </c>
      <c r="J424" s="10">
        <f>vlookup(F424, F:I, 4, 0)=I424</f>
      </c>
      <c r="K424" s="1"/>
      <c r="L424" s="1"/>
      <c r="M424" s="6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x14ac:dyDescent="0.25" r="425" customHeight="1" ht="18">
      <c r="A425" s="35"/>
      <c r="B425" s="35"/>
      <c r="C425" s="35"/>
      <c r="D425" s="35"/>
      <c r="E425" s="35"/>
      <c r="F425" s="9" t="s">
        <v>634</v>
      </c>
      <c r="G425" s="9" t="s">
        <v>635</v>
      </c>
      <c r="H425" s="22" t="s">
        <v>1336</v>
      </c>
      <c r="I425" s="129" t="s">
        <v>460</v>
      </c>
      <c r="J425" s="10">
        <f>vlookup(F425, F:I, 4, 0)=I425</f>
      </c>
      <c r="K425" s="1"/>
      <c r="L425" s="1"/>
      <c r="M425" s="6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x14ac:dyDescent="0.25" r="426" customHeight="1" ht="18">
      <c r="A426" s="131" t="s">
        <v>1337</v>
      </c>
      <c r="B426" s="34" t="s">
        <v>1338</v>
      </c>
      <c r="C426" s="132" t="s">
        <v>1339</v>
      </c>
      <c r="D426" s="86" t="s">
        <v>1340</v>
      </c>
      <c r="E426" s="86" t="s">
        <v>1341</v>
      </c>
      <c r="F426" s="32" t="s">
        <v>1342</v>
      </c>
      <c r="G426" s="133" t="s">
        <v>1343</v>
      </c>
      <c r="H426" s="134"/>
      <c r="I426" s="9" t="s">
        <v>460</v>
      </c>
      <c r="J426" s="10">
        <f>vlookup(F426, F:I, 4, 0)=I426</f>
      </c>
      <c r="K426" s="1"/>
      <c r="L426" s="1"/>
      <c r="M426" s="6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x14ac:dyDescent="0.25" r="427" customHeight="1" ht="18">
      <c r="A427" s="135"/>
      <c r="B427" s="35"/>
      <c r="C427" s="15"/>
      <c r="D427" s="102"/>
      <c r="E427" s="102"/>
      <c r="F427" s="32" t="s">
        <v>1344</v>
      </c>
      <c r="G427" s="133" t="s">
        <v>1098</v>
      </c>
      <c r="H427" s="134"/>
      <c r="I427" s="9" t="s">
        <v>460</v>
      </c>
      <c r="J427" s="10">
        <f>vlookup(F427, F:I, 4, 0)=I427</f>
      </c>
      <c r="K427" s="1"/>
      <c r="L427" s="1"/>
      <c r="M427" s="6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x14ac:dyDescent="0.25" r="428" customHeight="1" ht="18">
      <c r="A428" s="135"/>
      <c r="B428" s="35"/>
      <c r="C428" s="15"/>
      <c r="D428" s="102"/>
      <c r="E428" s="102"/>
      <c r="F428" s="9" t="s">
        <v>1345</v>
      </c>
      <c r="G428" s="133" t="s">
        <v>1346</v>
      </c>
      <c r="H428" s="134"/>
      <c r="I428" s="9" t="s">
        <v>481</v>
      </c>
      <c r="J428" s="10">
        <f>vlookup(F428, F:I, 4, 0)=I428</f>
      </c>
      <c r="K428" s="1"/>
      <c r="L428" s="1"/>
      <c r="M428" s="6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x14ac:dyDescent="0.25" r="429" customHeight="1" ht="18">
      <c r="A429" s="135"/>
      <c r="B429" s="35"/>
      <c r="C429" s="15"/>
      <c r="D429" s="102"/>
      <c r="E429" s="102"/>
      <c r="F429" s="9" t="s">
        <v>1347</v>
      </c>
      <c r="G429" s="133" t="s">
        <v>1348</v>
      </c>
      <c r="H429" s="134"/>
      <c r="I429" s="9" t="s">
        <v>460</v>
      </c>
      <c r="J429" s="10">
        <f>vlookup(F429, F:I, 4, 0)=I429</f>
      </c>
      <c r="K429" s="1"/>
      <c r="L429" s="1"/>
      <c r="M429" s="6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x14ac:dyDescent="0.25" r="430" customHeight="1" ht="18">
      <c r="A430" s="135"/>
      <c r="B430" s="35"/>
      <c r="C430" s="15"/>
      <c r="D430" s="102"/>
      <c r="E430" s="102"/>
      <c r="F430" s="9" t="s">
        <v>1349</v>
      </c>
      <c r="G430" s="133" t="s">
        <v>1350</v>
      </c>
      <c r="H430" s="134" t="s">
        <v>1351</v>
      </c>
      <c r="I430" s="9" t="s">
        <v>460</v>
      </c>
      <c r="J430" s="10">
        <f>vlookup(F430, F:I, 4, 0)=I430</f>
      </c>
      <c r="K430" s="1"/>
      <c r="L430" s="1"/>
      <c r="M430" s="6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x14ac:dyDescent="0.25" r="431" customHeight="1" ht="18">
      <c r="A431" s="135"/>
      <c r="B431" s="35"/>
      <c r="C431" s="125" t="s">
        <v>1352</v>
      </c>
      <c r="D431" s="34" t="s">
        <v>1353</v>
      </c>
      <c r="E431" s="34" t="s">
        <v>1354</v>
      </c>
      <c r="F431" s="32" t="s">
        <v>1342</v>
      </c>
      <c r="G431" s="133" t="s">
        <v>1343</v>
      </c>
      <c r="H431" s="134"/>
      <c r="I431" s="9" t="s">
        <v>460</v>
      </c>
      <c r="J431" s="10">
        <f>vlookup(F431, F:I, 4, 0)=I431</f>
      </c>
      <c r="K431" s="1"/>
      <c r="L431" s="1"/>
      <c r="M431" s="6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x14ac:dyDescent="0.25" r="432" customHeight="1" ht="18">
      <c r="A432" s="135"/>
      <c r="B432" s="35"/>
      <c r="C432" s="21"/>
      <c r="D432" s="9"/>
      <c r="E432" s="9"/>
      <c r="F432" s="32" t="s">
        <v>1344</v>
      </c>
      <c r="G432" s="133" t="s">
        <v>1098</v>
      </c>
      <c r="H432" s="134"/>
      <c r="I432" s="9" t="s">
        <v>460</v>
      </c>
      <c r="J432" s="10">
        <f>vlookup(F432, F:I, 4, 0)=I432</f>
      </c>
      <c r="K432" s="1"/>
      <c r="L432" s="1"/>
      <c r="M432" s="6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x14ac:dyDescent="0.25" r="433" customHeight="1" ht="18">
      <c r="A433" s="135"/>
      <c r="B433" s="35"/>
      <c r="C433" s="21"/>
      <c r="D433" s="9"/>
      <c r="E433" s="9"/>
      <c r="F433" s="9" t="s">
        <v>1345</v>
      </c>
      <c r="G433" s="133" t="s">
        <v>1346</v>
      </c>
      <c r="H433" s="134"/>
      <c r="I433" s="9" t="s">
        <v>481</v>
      </c>
      <c r="J433" s="10">
        <f>vlookup(F433, F:I, 4, 0)=I433</f>
      </c>
      <c r="K433" s="1"/>
      <c r="L433" s="1"/>
      <c r="M433" s="6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x14ac:dyDescent="0.25" r="434" customHeight="1" ht="18">
      <c r="A434" s="135"/>
      <c r="B434" s="35"/>
      <c r="C434" s="21"/>
      <c r="D434" s="9"/>
      <c r="E434" s="9"/>
      <c r="F434" s="9" t="s">
        <v>1347</v>
      </c>
      <c r="G434" s="133" t="s">
        <v>1355</v>
      </c>
      <c r="H434" s="134"/>
      <c r="I434" s="9" t="s">
        <v>460</v>
      </c>
      <c r="J434" s="10">
        <f>vlookup(F434, F:I, 4, 0)=I434</f>
      </c>
      <c r="K434" s="1"/>
      <c r="L434" s="1"/>
      <c r="M434" s="6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x14ac:dyDescent="0.25" r="435" customHeight="1" ht="18">
      <c r="A435" s="29"/>
      <c r="B435" s="35"/>
      <c r="C435" s="25"/>
      <c r="D435" s="20"/>
      <c r="E435" s="20"/>
      <c r="F435" s="9" t="s">
        <v>1349</v>
      </c>
      <c r="G435" s="133" t="s">
        <v>1356</v>
      </c>
      <c r="H435" s="134"/>
      <c r="I435" s="9" t="s">
        <v>460</v>
      </c>
      <c r="J435" s="10">
        <f>vlookup(F435, F:I, 4, 0)=I435</f>
      </c>
      <c r="K435" s="1"/>
      <c r="L435" s="1"/>
      <c r="M435" s="6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x14ac:dyDescent="0.25" r="436" customHeight="1" ht="18">
      <c r="A436" s="131" t="s">
        <v>1357</v>
      </c>
      <c r="B436" s="96" t="s">
        <v>1358</v>
      </c>
      <c r="C436" s="136" t="s">
        <v>1359</v>
      </c>
      <c r="D436" s="136" t="s">
        <v>1360</v>
      </c>
      <c r="E436" s="96" t="s">
        <v>1361</v>
      </c>
      <c r="F436" s="15" t="s">
        <v>1362</v>
      </c>
      <c r="G436" s="103" t="s">
        <v>1363</v>
      </c>
      <c r="H436" s="16" t="s">
        <v>734</v>
      </c>
      <c r="I436" s="102" t="s">
        <v>460</v>
      </c>
      <c r="J436" s="10">
        <f>vlookup(F436, F:I, 4, 0)=I436</f>
      </c>
      <c r="K436" s="1"/>
      <c r="L436" s="1"/>
      <c r="M436" s="6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x14ac:dyDescent="0.25" r="437" customHeight="1" ht="18">
      <c r="A437" s="99"/>
      <c r="B437" s="35"/>
      <c r="C437" s="58"/>
      <c r="D437" s="58"/>
      <c r="E437" s="35"/>
      <c r="F437" s="21" t="s">
        <v>1364</v>
      </c>
      <c r="G437" s="30" t="s">
        <v>1365</v>
      </c>
      <c r="H437" s="10">
        <v>1</v>
      </c>
      <c r="I437" s="9" t="s">
        <v>481</v>
      </c>
      <c r="J437" s="10">
        <f>vlookup(F437, F:I, 4, 0)=I437</f>
      </c>
      <c r="K437" s="1"/>
      <c r="L437" s="1"/>
      <c r="M437" s="6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x14ac:dyDescent="0.25" r="438" customHeight="1" ht="18">
      <c r="A438" s="99"/>
      <c r="B438" s="35"/>
      <c r="C438" s="58"/>
      <c r="D438" s="58"/>
      <c r="E438" s="35"/>
      <c r="F438" s="21" t="s">
        <v>1366</v>
      </c>
      <c r="G438" s="30" t="s">
        <v>748</v>
      </c>
      <c r="H438" s="22" t="s">
        <v>644</v>
      </c>
      <c r="I438" s="9" t="s">
        <v>460</v>
      </c>
      <c r="J438" s="10">
        <f>vlookup(F438, F:I, 4, 0)=I438</f>
      </c>
      <c r="K438" s="1"/>
      <c r="L438" s="1"/>
      <c r="M438" s="6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x14ac:dyDescent="0.25" r="439" customHeight="1" ht="18">
      <c r="A439" s="99"/>
      <c r="B439" s="35"/>
      <c r="C439" s="136" t="s">
        <v>1367</v>
      </c>
      <c r="D439" s="125" t="s">
        <v>1368</v>
      </c>
      <c r="E439" s="34" t="s">
        <v>1368</v>
      </c>
      <c r="F439" s="15" t="s">
        <v>1362</v>
      </c>
      <c r="G439" s="103" t="s">
        <v>1363</v>
      </c>
      <c r="H439" s="16" t="s">
        <v>734</v>
      </c>
      <c r="I439" s="102" t="s">
        <v>460</v>
      </c>
      <c r="J439" s="10">
        <f>vlookup(F439, F:I, 4, 0)=I439</f>
      </c>
      <c r="K439" s="1"/>
      <c r="L439" s="1"/>
      <c r="M439" s="6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x14ac:dyDescent="0.25" r="440" customHeight="1" ht="18">
      <c r="A440" s="99"/>
      <c r="B440" s="35"/>
      <c r="C440" s="58"/>
      <c r="D440" s="58"/>
      <c r="E440" s="35"/>
      <c r="F440" s="21" t="s">
        <v>1364</v>
      </c>
      <c r="G440" s="30" t="s">
        <v>1365</v>
      </c>
      <c r="H440" s="10">
        <v>1</v>
      </c>
      <c r="I440" s="9" t="s">
        <v>481</v>
      </c>
      <c r="J440" s="10">
        <f>vlookup(F440, F:I, 4, 0)=I440</f>
      </c>
      <c r="K440" s="1"/>
      <c r="L440" s="1"/>
      <c r="M440" s="6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x14ac:dyDescent="0.25" r="441" customHeight="1" ht="18">
      <c r="A441" s="137"/>
      <c r="B441" s="57"/>
      <c r="C441" s="59"/>
      <c r="D441" s="59"/>
      <c r="E441" s="137"/>
      <c r="F441" s="20" t="s">
        <v>1366</v>
      </c>
      <c r="G441" s="138" t="s">
        <v>748</v>
      </c>
      <c r="H441" s="26" t="s">
        <v>644</v>
      </c>
      <c r="I441" s="20" t="s">
        <v>460</v>
      </c>
      <c r="J441" s="37">
        <f>vlookup(F441, F:I, 4, 0)=I441</f>
      </c>
      <c r="K441" s="1"/>
      <c r="L441" s="1"/>
      <c r="M441" s="6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x14ac:dyDescent="0.25" r="442" customHeight="1" ht="18">
      <c r="A442" s="95" t="s">
        <v>1369</v>
      </c>
      <c r="B442" s="79" t="s">
        <v>934</v>
      </c>
      <c r="C442" s="79" t="s">
        <v>1370</v>
      </c>
      <c r="D442" s="79" t="s">
        <v>1369</v>
      </c>
      <c r="E442" s="79" t="s">
        <v>1371</v>
      </c>
      <c r="F442" s="9" t="s">
        <v>1372</v>
      </c>
      <c r="G442" s="30" t="s">
        <v>917</v>
      </c>
      <c r="H442" s="22" t="s">
        <v>1373</v>
      </c>
      <c r="I442" s="9" t="s">
        <v>460</v>
      </c>
      <c r="J442" s="10">
        <f>vlookup(F442, F:I, 4, 0)=I442</f>
      </c>
      <c r="K442" s="1"/>
      <c r="L442" s="1"/>
      <c r="M442" s="6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x14ac:dyDescent="0.25" r="443" customHeight="1" ht="18">
      <c r="A443" s="70"/>
      <c r="B443" s="71"/>
      <c r="C443" s="71"/>
      <c r="D443" s="71"/>
      <c r="E443" s="71"/>
      <c r="F443" s="9" t="s">
        <v>951</v>
      </c>
      <c r="G443" s="9" t="s">
        <v>952</v>
      </c>
      <c r="H443" s="22">
        <v>130</v>
      </c>
      <c r="I443" s="9" t="s">
        <v>481</v>
      </c>
      <c r="J443" s="10">
        <f>vlookup(F443, F:I, 4, 0)=I443</f>
      </c>
      <c r="K443" s="1"/>
      <c r="L443" s="1"/>
      <c r="M443" s="6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x14ac:dyDescent="0.25" r="444" customHeight="1" ht="18">
      <c r="A444" s="70"/>
      <c r="B444" s="71"/>
      <c r="C444" s="71"/>
      <c r="D444" s="71"/>
      <c r="E444" s="71"/>
      <c r="F444" s="9" t="s">
        <v>938</v>
      </c>
      <c r="G444" s="9" t="s">
        <v>939</v>
      </c>
      <c r="H444" s="22" t="s">
        <v>1374</v>
      </c>
      <c r="I444" s="9" t="s">
        <v>460</v>
      </c>
      <c r="J444" s="10">
        <f>vlookup(F444, F:I, 4, 0)=I444</f>
      </c>
      <c r="K444" s="1"/>
      <c r="L444" s="1"/>
      <c r="M444" s="6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x14ac:dyDescent="0.25" r="445" customHeight="1" ht="18">
      <c r="A445" s="70"/>
      <c r="B445" s="71"/>
      <c r="C445" s="71"/>
      <c r="D445" s="71"/>
      <c r="E445" s="71"/>
      <c r="F445" s="9" t="s">
        <v>943</v>
      </c>
      <c r="G445" s="9" t="s">
        <v>944</v>
      </c>
      <c r="H445" s="22" t="s">
        <v>1375</v>
      </c>
      <c r="I445" s="9" t="s">
        <v>460</v>
      </c>
      <c r="J445" s="10">
        <f>vlookup(F445, F:I, 4, 0)=I445</f>
      </c>
      <c r="K445" s="1"/>
      <c r="L445" s="1"/>
      <c r="M445" s="6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x14ac:dyDescent="0.25" r="446" customHeight="1" ht="18">
      <c r="A446" s="97"/>
      <c r="B446" s="81"/>
      <c r="C446" s="71"/>
      <c r="D446" s="71"/>
      <c r="E446" s="71"/>
      <c r="F446" s="20" t="s">
        <v>955</v>
      </c>
      <c r="G446" s="20" t="s">
        <v>1376</v>
      </c>
      <c r="H446" s="37">
        <v>123</v>
      </c>
      <c r="I446" s="20" t="s">
        <v>481</v>
      </c>
      <c r="J446" s="10">
        <f>vlookup(F446, F:I, 4, 0)=I446</f>
      </c>
      <c r="K446" s="2"/>
      <c r="L446" s="1"/>
      <c r="M446" s="6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x14ac:dyDescent="0.25" r="447" customHeight="1" ht="18">
      <c r="A447" s="115" t="s">
        <v>1377</v>
      </c>
      <c r="B447" s="131" t="s">
        <v>1378</v>
      </c>
      <c r="C447" s="34" t="s">
        <v>1378</v>
      </c>
      <c r="D447" s="136" t="s">
        <v>1379</v>
      </c>
      <c r="E447" s="96" t="s">
        <v>1380</v>
      </c>
      <c r="F447" s="9" t="s">
        <v>1147</v>
      </c>
      <c r="G447" s="9" t="s">
        <v>1148</v>
      </c>
      <c r="H447" s="10">
        <v>1</v>
      </c>
      <c r="I447" s="9" t="s">
        <v>460</v>
      </c>
      <c r="J447" s="10">
        <f>vlookup(F447, F:I, 4, 0)=I447</f>
      </c>
      <c r="K447" s="1"/>
      <c r="L447" s="1"/>
      <c r="M447" s="6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x14ac:dyDescent="0.25" r="448" customHeight="1" ht="18">
      <c r="A448" s="2"/>
      <c r="B448" s="99"/>
      <c r="C448" s="35"/>
      <c r="D448" s="58"/>
      <c r="E448" s="35"/>
      <c r="F448" s="9" t="s">
        <v>1149</v>
      </c>
      <c r="G448" s="9" t="s">
        <v>1150</v>
      </c>
      <c r="H448" s="10" t="s">
        <v>1151</v>
      </c>
      <c r="I448" s="9" t="s">
        <v>460</v>
      </c>
      <c r="J448" s="10">
        <f>vlookup(F448, F:I, 4, 0)=I448</f>
      </c>
      <c r="K448" s="1"/>
      <c r="L448" s="1"/>
      <c r="M448" s="6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x14ac:dyDescent="0.25" r="449" customHeight="1" ht="18">
      <c r="A449" s="2"/>
      <c r="B449" s="99"/>
      <c r="C449" s="35"/>
      <c r="D449" s="58"/>
      <c r="E449" s="35"/>
      <c r="F449" s="9" t="s">
        <v>1072</v>
      </c>
      <c r="G449" s="9" t="s">
        <v>1152</v>
      </c>
      <c r="H449" s="10">
        <v>1</v>
      </c>
      <c r="I449" s="9" t="s">
        <v>460</v>
      </c>
      <c r="J449" s="10">
        <f>vlookup(F449, F:I, 4, 0)=I449</f>
      </c>
      <c r="K449" s="1"/>
      <c r="L449" s="1"/>
      <c r="M449" s="6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x14ac:dyDescent="0.25" r="450" customHeight="1" ht="18">
      <c r="A450" s="2"/>
      <c r="B450" s="99"/>
      <c r="C450" s="35"/>
      <c r="D450" s="58"/>
      <c r="E450" s="35"/>
      <c r="F450" s="9" t="s">
        <v>1097</v>
      </c>
      <c r="G450" s="9" t="s">
        <v>1098</v>
      </c>
      <c r="H450" s="10" t="s">
        <v>1153</v>
      </c>
      <c r="I450" s="9" t="s">
        <v>460</v>
      </c>
      <c r="J450" s="10">
        <f>vlookup(F450, F:I, 4, 0)=I450</f>
      </c>
      <c r="K450" s="1"/>
      <c r="L450" s="1"/>
      <c r="M450" s="6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x14ac:dyDescent="0.25" r="451" customHeight="1" ht="18">
      <c r="A451" s="2"/>
      <c r="B451" s="99"/>
      <c r="C451" s="35"/>
      <c r="D451" s="58"/>
      <c r="E451" s="35"/>
      <c r="F451" s="9" t="s">
        <v>1154</v>
      </c>
      <c r="G451" s="9" t="s">
        <v>1155</v>
      </c>
      <c r="H451" s="10" t="s">
        <v>1156</v>
      </c>
      <c r="I451" s="9" t="s">
        <v>460</v>
      </c>
      <c r="J451" s="10">
        <f>vlookup(F451, F:I, 4, 0)=I451</f>
      </c>
      <c r="K451" s="1"/>
      <c r="L451" s="1"/>
      <c r="M451" s="6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x14ac:dyDescent="0.25" r="452" customHeight="1" ht="18">
      <c r="A452" s="2"/>
      <c r="B452" s="99"/>
      <c r="C452" s="35"/>
      <c r="D452" s="58"/>
      <c r="E452" s="35"/>
      <c r="F452" s="9" t="s">
        <v>1172</v>
      </c>
      <c r="G452" s="9" t="s">
        <v>1173</v>
      </c>
      <c r="H452" s="10" t="s">
        <v>1174</v>
      </c>
      <c r="I452" s="9" t="s">
        <v>460</v>
      </c>
      <c r="J452" s="10">
        <f>vlookup(F452, F:I, 4, 0)=I452</f>
      </c>
      <c r="K452" s="1"/>
      <c r="L452" s="1"/>
      <c r="M452" s="6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x14ac:dyDescent="0.25" r="453" customHeight="1" ht="18">
      <c r="A453" s="2"/>
      <c r="B453" s="99"/>
      <c r="C453" s="35"/>
      <c r="D453" s="58"/>
      <c r="E453" s="35"/>
      <c r="F453" s="9" t="s">
        <v>1157</v>
      </c>
      <c r="G453" s="30" t="s">
        <v>1158</v>
      </c>
      <c r="H453" s="10">
        <v>10</v>
      </c>
      <c r="I453" s="9" t="s">
        <v>481</v>
      </c>
      <c r="J453" s="10">
        <f>vlookup(F453, F:I, 4, 0)=I453</f>
      </c>
      <c r="K453" s="1"/>
      <c r="L453" s="1"/>
      <c r="M453" s="6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x14ac:dyDescent="0.25" r="454" customHeight="1" ht="18">
      <c r="A454" s="2"/>
      <c r="B454" s="99"/>
      <c r="C454" s="35"/>
      <c r="D454" s="58"/>
      <c r="E454" s="35"/>
      <c r="F454" s="9" t="s">
        <v>1159</v>
      </c>
      <c r="G454" s="9" t="s">
        <v>1160</v>
      </c>
      <c r="H454" s="10">
        <v>10</v>
      </c>
      <c r="I454" s="9" t="s">
        <v>481</v>
      </c>
      <c r="J454" s="10">
        <f>vlookup(F454, F:I, 4, 0)=I454</f>
      </c>
      <c r="K454" s="1"/>
      <c r="L454" s="1"/>
      <c r="M454" s="6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x14ac:dyDescent="0.25" r="455" customHeight="1" ht="18">
      <c r="A455" s="2"/>
      <c r="B455" s="99"/>
      <c r="C455" s="35"/>
      <c r="D455" s="58"/>
      <c r="E455" s="35"/>
      <c r="F455" s="9" t="s">
        <v>1161</v>
      </c>
      <c r="G455" s="9" t="s">
        <v>1162</v>
      </c>
      <c r="H455" s="10" t="s">
        <v>550</v>
      </c>
      <c r="I455" s="9" t="s">
        <v>460</v>
      </c>
      <c r="J455" s="10">
        <f>vlookup(F455, F:I, 4, 0)=I455</f>
      </c>
      <c r="K455" s="1"/>
      <c r="L455" s="1"/>
      <c r="M455" s="6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x14ac:dyDescent="0.25" r="456" customHeight="1" ht="18">
      <c r="A456" s="2"/>
      <c r="B456" s="99"/>
      <c r="C456" s="35"/>
      <c r="D456" s="58"/>
      <c r="E456" s="35"/>
      <c r="F456" s="30" t="s">
        <v>1163</v>
      </c>
      <c r="G456" s="9" t="s">
        <v>1164</v>
      </c>
      <c r="H456" s="10" t="s">
        <v>570</v>
      </c>
      <c r="I456" s="9" t="s">
        <v>571</v>
      </c>
      <c r="J456" s="10">
        <f>vlookup(F456, F:I, 4, 0)=I456</f>
      </c>
      <c r="K456" s="1"/>
      <c r="L456" s="1"/>
      <c r="M456" s="6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x14ac:dyDescent="0.25" r="457" customHeight="1" ht="18">
      <c r="A457" s="2"/>
      <c r="B457" s="99"/>
      <c r="C457" s="35"/>
      <c r="D457" s="58"/>
      <c r="E457" s="35"/>
      <c r="F457" s="9" t="s">
        <v>1165</v>
      </c>
      <c r="G457" s="9" t="s">
        <v>1166</v>
      </c>
      <c r="H457" s="10">
        <v>1</v>
      </c>
      <c r="I457" s="9" t="s">
        <v>460</v>
      </c>
      <c r="J457" s="10">
        <f>vlookup(F457, F:I, 4, 0)=I457</f>
      </c>
      <c r="K457" s="1"/>
      <c r="L457" s="1"/>
      <c r="M457" s="6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x14ac:dyDescent="0.25" r="458" customHeight="1" ht="18">
      <c r="A458" s="2"/>
      <c r="B458" s="99"/>
      <c r="C458" s="35"/>
      <c r="D458" s="58"/>
      <c r="E458" s="35"/>
      <c r="F458" s="9" t="s">
        <v>1167</v>
      </c>
      <c r="G458" s="9" t="s">
        <v>1168</v>
      </c>
      <c r="H458" s="10">
        <v>1</v>
      </c>
      <c r="I458" s="9" t="s">
        <v>481</v>
      </c>
      <c r="J458" s="10">
        <f>vlookup(F458, F:I, 4, 0)=I458</f>
      </c>
      <c r="K458" s="1"/>
      <c r="L458" s="1"/>
      <c r="M458" s="6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x14ac:dyDescent="0.25" r="459" customHeight="1" ht="18">
      <c r="A459" s="2"/>
      <c r="B459" s="137"/>
      <c r="C459" s="35"/>
      <c r="D459" s="59"/>
      <c r="E459" s="57"/>
      <c r="F459" s="20" t="s">
        <v>1175</v>
      </c>
      <c r="G459" s="20" t="s">
        <v>1176</v>
      </c>
      <c r="H459" s="37">
        <v>4</v>
      </c>
      <c r="I459" s="20" t="s">
        <v>481</v>
      </c>
      <c r="J459" s="37">
        <f>vlookup(F459, F:I, 4, 0)=I459</f>
      </c>
      <c r="K459" s="1"/>
      <c r="L459" s="1"/>
      <c r="M459" s="6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x14ac:dyDescent="0.25" r="460" customHeight="1" ht="18">
      <c r="A460" s="34" t="s">
        <v>1381</v>
      </c>
      <c r="B460" s="131" t="s">
        <v>1382</v>
      </c>
      <c r="C460" s="34" t="s">
        <v>1383</v>
      </c>
      <c r="D460" s="136" t="s">
        <v>1384</v>
      </c>
      <c r="E460" s="96" t="s">
        <v>1385</v>
      </c>
      <c r="F460" s="9" t="s">
        <v>1386</v>
      </c>
      <c r="G460" s="30" t="s">
        <v>1387</v>
      </c>
      <c r="H460" s="10">
        <v>1</v>
      </c>
      <c r="I460" s="9" t="s">
        <v>481</v>
      </c>
      <c r="J460" s="37">
        <f>vlookup(F460, F:I, 4, 0)=I460</f>
      </c>
      <c r="K460" s="1"/>
      <c r="L460" s="1"/>
      <c r="M460" s="6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x14ac:dyDescent="0.25" r="461" customHeight="1" ht="18">
      <c r="A461" s="35"/>
      <c r="B461" s="99"/>
      <c r="C461" s="35"/>
      <c r="D461" s="58"/>
      <c r="E461" s="35"/>
      <c r="F461" s="9" t="s">
        <v>1388</v>
      </c>
      <c r="G461" s="30" t="s">
        <v>1389</v>
      </c>
      <c r="H461" s="10">
        <v>1</v>
      </c>
      <c r="I461" s="9" t="s">
        <v>481</v>
      </c>
      <c r="J461" s="37">
        <f>vlookup(F461, F:I, 4, 0)=I461</f>
      </c>
      <c r="K461" s="1"/>
      <c r="L461" s="1"/>
      <c r="M461" s="6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x14ac:dyDescent="0.25" r="462" customHeight="1" ht="18">
      <c r="A462" s="35"/>
      <c r="B462" s="99"/>
      <c r="C462" s="34" t="s">
        <v>1390</v>
      </c>
      <c r="D462" s="101" t="s">
        <v>1391</v>
      </c>
      <c r="E462" s="14" t="s">
        <v>1392</v>
      </c>
      <c r="F462" s="9" t="s">
        <v>701</v>
      </c>
      <c r="G462" s="9" t="s">
        <v>702</v>
      </c>
      <c r="H462" s="37" t="s">
        <v>1296</v>
      </c>
      <c r="I462" s="9" t="s">
        <v>704</v>
      </c>
      <c r="J462" s="37">
        <f>vlookup(F462, F:I, 4, 0)=I462</f>
      </c>
      <c r="K462" s="1"/>
      <c r="L462" s="1"/>
      <c r="M462" s="6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x14ac:dyDescent="0.25" r="463" customHeight="1" ht="18">
      <c r="A463" s="35"/>
      <c r="B463" s="99"/>
      <c r="C463" s="35"/>
      <c r="D463" s="70"/>
      <c r="E463" s="71"/>
      <c r="F463" s="9" t="s">
        <v>1393</v>
      </c>
      <c r="G463" s="30" t="s">
        <v>1394</v>
      </c>
      <c r="H463" s="22" t="s">
        <v>1395</v>
      </c>
      <c r="I463" s="30" t="s">
        <v>460</v>
      </c>
      <c r="J463" s="37">
        <f>vlookup(F463, F:I, 4, 0)=I463</f>
      </c>
      <c r="K463" s="1"/>
      <c r="L463" s="1"/>
      <c r="M463" s="6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x14ac:dyDescent="0.25" r="464" customHeight="1" ht="18">
      <c r="A464" s="35"/>
      <c r="B464" s="99"/>
      <c r="C464" s="35"/>
      <c r="D464" s="97"/>
      <c r="E464" s="81"/>
      <c r="F464" s="9" t="s">
        <v>1396</v>
      </c>
      <c r="G464" s="30" t="s">
        <v>1397</v>
      </c>
      <c r="H464" s="10">
        <v>2</v>
      </c>
      <c r="I464" s="30" t="s">
        <v>481</v>
      </c>
      <c r="J464" s="37">
        <f>vlookup(F464, F:I, 4, 0)=I464</f>
      </c>
      <c r="K464" s="1"/>
      <c r="L464" s="1"/>
      <c r="M464" s="6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x14ac:dyDescent="0.25" r="465" customHeight="1" ht="18">
      <c r="A465" s="35"/>
      <c r="B465" s="99"/>
      <c r="C465" s="9" t="s">
        <v>1398</v>
      </c>
      <c r="D465" s="32" t="s">
        <v>1399</v>
      </c>
      <c r="E465" s="30" t="s">
        <v>1400</v>
      </c>
      <c r="F465" s="9" t="s">
        <v>1401</v>
      </c>
      <c r="G465" s="30" t="s">
        <v>1402</v>
      </c>
      <c r="H465" s="10">
        <v>1</v>
      </c>
      <c r="I465" s="9" t="s">
        <v>481</v>
      </c>
      <c r="J465" s="37">
        <f>vlookup(F465, F:I, 4, 0)=I465</f>
      </c>
      <c r="K465" s="1"/>
      <c r="L465" s="1"/>
      <c r="M465" s="6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x14ac:dyDescent="0.25" r="466" customHeight="1" ht="18">
      <c r="A466" s="35"/>
      <c r="B466" s="99"/>
      <c r="C466" s="34" t="s">
        <v>1403</v>
      </c>
      <c r="D466" s="136" t="s">
        <v>1404</v>
      </c>
      <c r="E466" s="96" t="s">
        <v>1405</v>
      </c>
      <c r="F466" s="9" t="s">
        <v>1406</v>
      </c>
      <c r="G466" s="30" t="s">
        <v>1407</v>
      </c>
      <c r="H466" s="10">
        <v>12123</v>
      </c>
      <c r="I466" s="9" t="s">
        <v>460</v>
      </c>
      <c r="J466" s="37">
        <f>vlookup(F466, F:I, 4, 0)=I466</f>
      </c>
      <c r="K466" s="1"/>
      <c r="L466" s="1"/>
      <c r="M466" s="6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x14ac:dyDescent="0.25" r="467" customHeight="1" ht="18">
      <c r="A467" s="35"/>
      <c r="B467" s="99"/>
      <c r="C467" s="35"/>
      <c r="D467" s="58"/>
      <c r="E467" s="35"/>
      <c r="F467" s="9" t="s">
        <v>1408</v>
      </c>
      <c r="G467" s="30" t="s">
        <v>1409</v>
      </c>
      <c r="H467" s="22" t="s">
        <v>1410</v>
      </c>
      <c r="I467" s="9" t="s">
        <v>460</v>
      </c>
      <c r="J467" s="37">
        <f>vlookup(F467, F:I, 4, 0)=I467</f>
      </c>
      <c r="K467" s="1"/>
      <c r="L467" s="1"/>
      <c r="M467" s="6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x14ac:dyDescent="0.25" r="468" customHeight="1" ht="18">
      <c r="A468" s="35"/>
      <c r="B468" s="99"/>
      <c r="C468" s="34" t="s">
        <v>1411</v>
      </c>
      <c r="D468" s="101" t="s">
        <v>1412</v>
      </c>
      <c r="E468" s="96" t="s">
        <v>1413</v>
      </c>
      <c r="F468" s="9" t="s">
        <v>1414</v>
      </c>
      <c r="G468" s="30" t="s">
        <v>1415</v>
      </c>
      <c r="H468" s="10">
        <v>12123</v>
      </c>
      <c r="I468" s="9" t="s">
        <v>460</v>
      </c>
      <c r="J468" s="37">
        <f>vlookup(F468, F:I, 4, 0)=I468</f>
      </c>
      <c r="K468" s="1"/>
      <c r="L468" s="1"/>
      <c r="M468" s="6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x14ac:dyDescent="0.25" r="469" customHeight="1" ht="18">
      <c r="A469" s="35"/>
      <c r="B469" s="137"/>
      <c r="C469" s="35"/>
      <c r="D469" s="70"/>
      <c r="E469" s="57"/>
      <c r="F469" s="9" t="s">
        <v>1408</v>
      </c>
      <c r="G469" s="100" t="s">
        <v>1409</v>
      </c>
      <c r="H469" s="26" t="s">
        <v>1410</v>
      </c>
      <c r="I469" s="20" t="s">
        <v>460</v>
      </c>
      <c r="J469" s="37">
        <f>vlookup(F469, F:I, 4, 0)=I469</f>
      </c>
      <c r="K469" s="1"/>
      <c r="L469" s="1"/>
      <c r="M469" s="6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x14ac:dyDescent="0.25" r="470" customHeight="1" ht="18">
      <c r="A470" s="131" t="s">
        <v>1416</v>
      </c>
      <c r="B470" s="131" t="s">
        <v>1417</v>
      </c>
      <c r="C470" s="34" t="s">
        <v>1418</v>
      </c>
      <c r="D470" s="125" t="s">
        <v>1419</v>
      </c>
      <c r="E470" s="34" t="s">
        <v>1420</v>
      </c>
      <c r="F470" s="9" t="s">
        <v>630</v>
      </c>
      <c r="G470" s="9" t="s">
        <v>631</v>
      </c>
      <c r="H470" s="10">
        <v>1</v>
      </c>
      <c r="I470" s="9" t="s">
        <v>481</v>
      </c>
      <c r="J470" s="37">
        <f>vlookup(F470, F:I, 4, 0)=I470</f>
      </c>
      <c r="K470" s="1"/>
      <c r="L470" s="1"/>
      <c r="M470" s="6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x14ac:dyDescent="0.25" r="471" customHeight="1" ht="18">
      <c r="A471" s="99"/>
      <c r="B471" s="135"/>
      <c r="C471" s="35"/>
      <c r="D471" s="58"/>
      <c r="E471" s="35"/>
      <c r="F471" s="9" t="s">
        <v>632</v>
      </c>
      <c r="G471" s="9" t="s">
        <v>633</v>
      </c>
      <c r="H471" s="10">
        <v>1</v>
      </c>
      <c r="I471" s="9" t="s">
        <v>481</v>
      </c>
      <c r="J471" s="37">
        <f>vlookup(F471, F:I, 4, 0)=I471</f>
      </c>
      <c r="K471" s="1"/>
      <c r="L471" s="1"/>
      <c r="M471" s="6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x14ac:dyDescent="0.25" r="472" customHeight="1" ht="18">
      <c r="A472" s="99"/>
      <c r="B472" s="135"/>
      <c r="C472" s="35"/>
      <c r="D472" s="58"/>
      <c r="E472" s="35"/>
      <c r="F472" s="9" t="s">
        <v>628</v>
      </c>
      <c r="G472" s="9" t="s">
        <v>629</v>
      </c>
      <c r="H472" s="10">
        <v>2</v>
      </c>
      <c r="I472" s="9" t="s">
        <v>481</v>
      </c>
      <c r="J472" s="37">
        <f>vlookup(F472, F:I, 4, 0)=I472</f>
      </c>
      <c r="K472" s="1"/>
      <c r="L472" s="1"/>
      <c r="M472" s="6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x14ac:dyDescent="0.25" r="473" customHeight="1" ht="18">
      <c r="A473" s="99"/>
      <c r="B473" s="135"/>
      <c r="C473" s="35"/>
      <c r="D473" s="58"/>
      <c r="E473" s="35"/>
      <c r="F473" s="9" t="s">
        <v>634</v>
      </c>
      <c r="G473" s="9" t="s">
        <v>635</v>
      </c>
      <c r="H473" s="10" t="s">
        <v>1421</v>
      </c>
      <c r="I473" s="20" t="s">
        <v>460</v>
      </c>
      <c r="J473" s="37">
        <f>vlookup(F473, F:I, 4, 0)=I473</f>
      </c>
      <c r="K473" s="1"/>
      <c r="L473" s="1"/>
      <c r="M473" s="6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x14ac:dyDescent="0.25" r="474" customHeight="1" ht="18">
      <c r="A474" s="139" t="s">
        <v>1422</v>
      </c>
      <c r="B474" s="140" t="s">
        <v>1423</v>
      </c>
      <c r="C474" s="39" t="s">
        <v>1424</v>
      </c>
      <c r="D474" s="141" t="s">
        <v>1233</v>
      </c>
      <c r="E474" s="67" t="s">
        <v>1425</v>
      </c>
      <c r="F474" s="68" t="s">
        <v>1426</v>
      </c>
      <c r="G474" s="94" t="s">
        <v>1427</v>
      </c>
      <c r="H474" s="77" t="s">
        <v>1428</v>
      </c>
      <c r="I474" s="142" t="s">
        <v>460</v>
      </c>
      <c r="J474" s="37">
        <f>vlookup(F474, F:I, 4, 0)=I474</f>
      </c>
      <c r="K474" s="1"/>
      <c r="L474" s="1"/>
      <c r="M474" s="6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x14ac:dyDescent="0.25" r="475" customHeight="1" ht="18">
      <c r="A475" s="70"/>
      <c r="B475" s="71"/>
      <c r="C475" s="9"/>
      <c r="D475" s="21"/>
      <c r="E475" s="9"/>
      <c r="F475" s="68" t="s">
        <v>628</v>
      </c>
      <c r="G475" s="94" t="s">
        <v>629</v>
      </c>
      <c r="H475" s="143" t="s">
        <v>1429</v>
      </c>
      <c r="I475" s="142" t="s">
        <v>481</v>
      </c>
      <c r="J475" s="37">
        <f>vlookup(F475, F:I, 4, 0)=I475</f>
      </c>
      <c r="K475" s="1"/>
      <c r="L475" s="1"/>
      <c r="M475" s="6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x14ac:dyDescent="0.25" r="476" customHeight="1" ht="18">
      <c r="A476" s="70"/>
      <c r="B476" s="71"/>
      <c r="C476" s="9"/>
      <c r="D476" s="21"/>
      <c r="E476" s="9"/>
      <c r="F476" s="68" t="s">
        <v>630</v>
      </c>
      <c r="G476" s="94" t="s">
        <v>631</v>
      </c>
      <c r="H476" s="77">
        <v>10</v>
      </c>
      <c r="I476" s="142" t="s">
        <v>481</v>
      </c>
      <c r="J476" s="37">
        <f>vlookup(F476, F:I, 4, 0)=I476</f>
      </c>
      <c r="K476" s="1"/>
      <c r="L476" s="1"/>
      <c r="M476" s="6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x14ac:dyDescent="0.25" r="477" customHeight="1" ht="18">
      <c r="A477" s="70"/>
      <c r="B477" s="71"/>
      <c r="C477" s="9"/>
      <c r="D477" s="21"/>
      <c r="E477" s="9"/>
      <c r="F477" s="68" t="s">
        <v>632</v>
      </c>
      <c r="G477" s="94" t="s">
        <v>633</v>
      </c>
      <c r="H477" s="77">
        <v>11</v>
      </c>
      <c r="I477" s="142" t="s">
        <v>481</v>
      </c>
      <c r="J477" s="37">
        <f>vlookup(F477, F:I, 4, 0)=I477</f>
      </c>
      <c r="K477" s="1"/>
      <c r="L477" s="1"/>
      <c r="M477" s="6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x14ac:dyDescent="0.25" r="478" customHeight="1" ht="18">
      <c r="A478" s="70"/>
      <c r="B478" s="71"/>
      <c r="C478" s="39" t="s">
        <v>1430</v>
      </c>
      <c r="D478" s="141" t="s">
        <v>1431</v>
      </c>
      <c r="E478" s="67" t="s">
        <v>1432</v>
      </c>
      <c r="F478" s="68" t="s">
        <v>1433</v>
      </c>
      <c r="G478" s="94" t="s">
        <v>1434</v>
      </c>
      <c r="H478" s="77">
        <v>10001</v>
      </c>
      <c r="I478" s="142" t="s">
        <v>481</v>
      </c>
      <c r="J478" s="37">
        <f>vlookup(F478, F:I, 4, 0)=I478</f>
      </c>
      <c r="K478" s="1"/>
      <c r="L478" s="1"/>
      <c r="M478" s="6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x14ac:dyDescent="0.25" r="479" customHeight="1" ht="18">
      <c r="A479" s="70"/>
      <c r="B479" s="71"/>
      <c r="C479" s="9"/>
      <c r="D479" s="21"/>
      <c r="E479" s="9"/>
      <c r="F479" s="68" t="s">
        <v>1435</v>
      </c>
      <c r="G479" s="94" t="s">
        <v>1436</v>
      </c>
      <c r="H479" s="77" t="s">
        <v>1437</v>
      </c>
      <c r="I479" s="142" t="s">
        <v>460</v>
      </c>
      <c r="J479" s="37">
        <f>vlookup(F479, F:I, 4, 0)=I479</f>
      </c>
      <c r="K479" s="1"/>
      <c r="L479" s="1"/>
      <c r="M479" s="6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x14ac:dyDescent="0.25" r="480" customHeight="1" ht="18">
      <c r="A480" s="70"/>
      <c r="B480" s="71"/>
      <c r="C480" s="9"/>
      <c r="D480" s="21"/>
      <c r="E480" s="9"/>
      <c r="F480" s="68" t="s">
        <v>1438</v>
      </c>
      <c r="G480" s="94" t="s">
        <v>1439</v>
      </c>
      <c r="H480" s="77" t="s">
        <v>1440</v>
      </c>
      <c r="I480" s="142" t="s">
        <v>460</v>
      </c>
      <c r="J480" s="37">
        <f>vlookup(F480, F:I, 4, 0)=I480</f>
      </c>
      <c r="K480" s="1"/>
      <c r="L480" s="1"/>
      <c r="M480" s="6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x14ac:dyDescent="0.25" r="481" customHeight="1" ht="18">
      <c r="A481" s="70"/>
      <c r="B481" s="71"/>
      <c r="C481" s="9"/>
      <c r="D481" s="21"/>
      <c r="E481" s="9"/>
      <c r="F481" s="68" t="s">
        <v>1441</v>
      </c>
      <c r="G481" s="94" t="s">
        <v>1442</v>
      </c>
      <c r="H481" s="77">
        <v>1</v>
      </c>
      <c r="I481" s="142" t="s">
        <v>481</v>
      </c>
      <c r="J481" s="37"/>
      <c r="K481" s="1"/>
      <c r="L481" s="1"/>
      <c r="M481" s="6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x14ac:dyDescent="0.25" r="482" customHeight="1" ht="18">
      <c r="A482" s="70"/>
      <c r="B482" s="71"/>
      <c r="C482" s="9"/>
      <c r="D482" s="21"/>
      <c r="E482" s="9"/>
      <c r="F482" s="68" t="s">
        <v>1443</v>
      </c>
      <c r="G482" s="94" t="s">
        <v>1444</v>
      </c>
      <c r="H482" s="77">
        <v>5</v>
      </c>
      <c r="I482" s="142" t="s">
        <v>481</v>
      </c>
      <c r="J482" s="37">
        <f>vlookup(F482, F:I, 4, 0)=I482</f>
      </c>
      <c r="K482" s="1"/>
      <c r="L482" s="1"/>
      <c r="M482" s="6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x14ac:dyDescent="0.25" r="483" customHeight="1" ht="18">
      <c r="A483" s="70"/>
      <c r="B483" s="71"/>
      <c r="C483" s="9"/>
      <c r="D483" s="21"/>
      <c r="E483" s="9"/>
      <c r="F483" s="68" t="s">
        <v>1445</v>
      </c>
      <c r="G483" s="94" t="s">
        <v>1446</v>
      </c>
      <c r="H483" s="143" t="s">
        <v>1429</v>
      </c>
      <c r="I483" s="142" t="s">
        <v>481</v>
      </c>
      <c r="J483" s="37"/>
      <c r="K483" s="1"/>
      <c r="L483" s="1"/>
      <c r="M483" s="6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x14ac:dyDescent="0.25" r="484" customHeight="1" ht="18">
      <c r="A484" s="70"/>
      <c r="B484" s="71"/>
      <c r="C484" s="9"/>
      <c r="D484" s="21"/>
      <c r="E484" s="9"/>
      <c r="F484" s="68" t="s">
        <v>1447</v>
      </c>
      <c r="G484" s="94" t="s">
        <v>1448</v>
      </c>
      <c r="H484" s="77">
        <v>22</v>
      </c>
      <c r="I484" s="142" t="s">
        <v>481</v>
      </c>
      <c r="J484" s="37"/>
      <c r="K484" s="1"/>
      <c r="L484" s="1"/>
      <c r="M484" s="6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x14ac:dyDescent="0.25" r="485" customHeight="1" ht="18">
      <c r="A485" s="70"/>
      <c r="B485" s="71"/>
      <c r="C485" s="9"/>
      <c r="D485" s="21"/>
      <c r="E485" s="9"/>
      <c r="F485" s="68" t="s">
        <v>916</v>
      </c>
      <c r="G485" s="94" t="s">
        <v>1449</v>
      </c>
      <c r="H485" s="77" t="s">
        <v>1450</v>
      </c>
      <c r="I485" s="142" t="s">
        <v>460</v>
      </c>
      <c r="J485" s="37"/>
      <c r="K485" s="1"/>
      <c r="L485" s="1"/>
      <c r="M485" s="6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x14ac:dyDescent="0.25" r="486" customHeight="1" ht="18">
      <c r="A486" s="70"/>
      <c r="B486" s="71"/>
      <c r="C486" s="9"/>
      <c r="D486" s="21"/>
      <c r="E486" s="9"/>
      <c r="F486" s="68" t="s">
        <v>1451</v>
      </c>
      <c r="G486" s="94" t="s">
        <v>1003</v>
      </c>
      <c r="H486" s="77" t="s">
        <v>844</v>
      </c>
      <c r="I486" s="142" t="s">
        <v>571</v>
      </c>
      <c r="J486" s="37">
        <f>vlookup(F486, F:I, 4, 0)=I486</f>
      </c>
      <c r="K486" s="1"/>
      <c r="L486" s="1"/>
      <c r="M486" s="6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x14ac:dyDescent="0.25" r="487" customHeight="1" ht="18">
      <c r="A487" s="70"/>
      <c r="B487" s="71"/>
      <c r="C487" s="39" t="s">
        <v>1452</v>
      </c>
      <c r="D487" s="141" t="s">
        <v>1453</v>
      </c>
      <c r="E487" s="67" t="s">
        <v>1454</v>
      </c>
      <c r="F487" s="68" t="s">
        <v>1433</v>
      </c>
      <c r="G487" s="94" t="s">
        <v>1434</v>
      </c>
      <c r="H487" s="77">
        <v>10001</v>
      </c>
      <c r="I487" s="142" t="s">
        <v>481</v>
      </c>
      <c r="J487" s="37">
        <f>vlookup(F487, F:I, 4, 0)=I487</f>
      </c>
      <c r="K487" s="1"/>
      <c r="L487" s="1"/>
      <c r="M487" s="6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x14ac:dyDescent="0.25" r="488" customHeight="1" ht="18">
      <c r="A488" s="70"/>
      <c r="B488" s="71"/>
      <c r="C488" s="9"/>
      <c r="D488" s="21"/>
      <c r="E488" s="9"/>
      <c r="F488" s="68" t="s">
        <v>1435</v>
      </c>
      <c r="G488" s="94" t="s">
        <v>1436</v>
      </c>
      <c r="H488" s="77" t="s">
        <v>1437</v>
      </c>
      <c r="I488" s="142" t="s">
        <v>460</v>
      </c>
      <c r="J488" s="37">
        <f>vlookup(F488, F:I, 4, 0)=I488</f>
      </c>
      <c r="K488" s="1"/>
      <c r="L488" s="1"/>
      <c r="M488" s="6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x14ac:dyDescent="0.25" r="489" customHeight="1" ht="18">
      <c r="A489" s="70"/>
      <c r="B489" s="71"/>
      <c r="C489" s="9"/>
      <c r="D489" s="21"/>
      <c r="E489" s="9"/>
      <c r="F489" s="68" t="s">
        <v>1438</v>
      </c>
      <c r="G489" s="94" t="s">
        <v>1439</v>
      </c>
      <c r="H489" s="77" t="s">
        <v>1440</v>
      </c>
      <c r="I489" s="142" t="s">
        <v>460</v>
      </c>
      <c r="J489" s="37"/>
      <c r="K489" s="1"/>
      <c r="L489" s="1"/>
      <c r="M489" s="6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x14ac:dyDescent="0.25" r="490" customHeight="1" ht="18">
      <c r="A490" s="70"/>
      <c r="B490" s="71"/>
      <c r="C490" s="9"/>
      <c r="D490" s="21"/>
      <c r="E490" s="9"/>
      <c r="F490" s="68" t="s">
        <v>1441</v>
      </c>
      <c r="G490" s="94" t="s">
        <v>1442</v>
      </c>
      <c r="H490" s="77">
        <v>1</v>
      </c>
      <c r="I490" s="142" t="s">
        <v>481</v>
      </c>
      <c r="J490" s="37"/>
      <c r="K490" s="1"/>
      <c r="L490" s="1"/>
      <c r="M490" s="6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x14ac:dyDescent="0.25" r="491" customHeight="1" ht="18">
      <c r="A491" s="70"/>
      <c r="B491" s="71"/>
      <c r="C491" s="9"/>
      <c r="D491" s="21"/>
      <c r="E491" s="9"/>
      <c r="F491" s="68" t="s">
        <v>1443</v>
      </c>
      <c r="G491" s="94" t="s">
        <v>1444</v>
      </c>
      <c r="H491" s="77">
        <v>5</v>
      </c>
      <c r="I491" s="142" t="s">
        <v>481</v>
      </c>
      <c r="J491" s="37"/>
      <c r="K491" s="1"/>
      <c r="L491" s="1"/>
      <c r="M491" s="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x14ac:dyDescent="0.25" r="492" customHeight="1" ht="18">
      <c r="A492" s="70"/>
      <c r="B492" s="71"/>
      <c r="C492" s="9"/>
      <c r="D492" s="21"/>
      <c r="E492" s="9"/>
      <c r="F492" s="68" t="s">
        <v>1445</v>
      </c>
      <c r="G492" s="94" t="s">
        <v>1446</v>
      </c>
      <c r="H492" s="143" t="s">
        <v>1429</v>
      </c>
      <c r="I492" s="142" t="s">
        <v>481</v>
      </c>
      <c r="J492" s="37"/>
      <c r="K492" s="1"/>
      <c r="L492" s="1"/>
      <c r="M492" s="6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x14ac:dyDescent="0.25" r="493" customHeight="1" ht="18">
      <c r="A493" s="70"/>
      <c r="B493" s="71"/>
      <c r="C493" s="9"/>
      <c r="D493" s="21"/>
      <c r="E493" s="9"/>
      <c r="F493" s="68" t="s">
        <v>1447</v>
      </c>
      <c r="G493" s="94" t="s">
        <v>1448</v>
      </c>
      <c r="H493" s="77">
        <v>22</v>
      </c>
      <c r="I493" s="142" t="s">
        <v>481</v>
      </c>
      <c r="J493" s="37"/>
      <c r="K493" s="1"/>
      <c r="L493" s="1"/>
      <c r="M493" s="6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x14ac:dyDescent="0.25" r="494" customHeight="1" ht="18">
      <c r="A494" s="70"/>
      <c r="B494" s="71"/>
      <c r="C494" s="9"/>
      <c r="D494" s="21"/>
      <c r="E494" s="9"/>
      <c r="F494" s="68" t="s">
        <v>916</v>
      </c>
      <c r="G494" s="94" t="s">
        <v>1449</v>
      </c>
      <c r="H494" s="77" t="s">
        <v>1450</v>
      </c>
      <c r="I494" s="142" t="s">
        <v>460</v>
      </c>
      <c r="J494" s="37"/>
      <c r="K494" s="1"/>
      <c r="L494" s="1"/>
      <c r="M494" s="6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x14ac:dyDescent="0.25" r="495" customHeight="1" ht="18">
      <c r="A495" s="97"/>
      <c r="B495" s="81"/>
      <c r="C495" s="9"/>
      <c r="D495" s="21"/>
      <c r="E495" s="9"/>
      <c r="F495" s="68" t="s">
        <v>634</v>
      </c>
      <c r="G495" s="94" t="s">
        <v>635</v>
      </c>
      <c r="H495" s="77" t="s">
        <v>1455</v>
      </c>
      <c r="I495" s="142" t="s">
        <v>460</v>
      </c>
      <c r="J495" s="37">
        <f>vlookup(F495, F:I, 4, 0)=I495</f>
      </c>
      <c r="K495" s="1"/>
      <c r="L495" s="1"/>
      <c r="M495" s="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x14ac:dyDescent="0.25" r="496" customHeight="1" ht="18">
      <c r="A496" s="39" t="s">
        <v>874</v>
      </c>
      <c r="B496" s="144" t="s">
        <v>1456</v>
      </c>
      <c r="C496" s="39" t="s">
        <v>1457</v>
      </c>
      <c r="D496" s="145" t="s">
        <v>874</v>
      </c>
      <c r="E496" s="39" t="s">
        <v>1458</v>
      </c>
      <c r="F496" s="68" t="s">
        <v>836</v>
      </c>
      <c r="G496" s="94" t="s">
        <v>987</v>
      </c>
      <c r="H496" s="77" t="s">
        <v>1269</v>
      </c>
      <c r="I496" s="126" t="s">
        <v>460</v>
      </c>
      <c r="J496" s="37">
        <f>vlookup(F496, F:I, 4, 0)=I496</f>
      </c>
      <c r="K496" s="1"/>
      <c r="L496" s="1"/>
      <c r="M496" s="19">
        <f>char(10)&amp;"'"&amp;F496&amp;"' =&gt; ("&amp;if(I496="字符串", "string)", if(I496="数值", "int)", if(I496="布尔", "bool)", "int)time")))&amp;" _, //"&amp;G496&amp;", 如: "&amp;H496</f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x14ac:dyDescent="0.25" r="497" customHeight="1" ht="18">
      <c r="A497" s="35"/>
      <c r="B497" s="73"/>
      <c r="C497" s="35"/>
      <c r="D497" s="58"/>
      <c r="E497" s="35"/>
      <c r="F497" s="68" t="s">
        <v>1459</v>
      </c>
      <c r="G497" s="94" t="s">
        <v>1460</v>
      </c>
      <c r="H497" s="77">
        <v>123</v>
      </c>
      <c r="I497" s="68" t="s">
        <v>481</v>
      </c>
      <c r="J497" s="37">
        <f>vlookup(F497, F:I, 4, 0)=I497</f>
      </c>
      <c r="K497" s="1"/>
      <c r="L497" s="1"/>
      <c r="M497" s="19">
        <f>char(10)&amp;"'"&amp;F497&amp;"' =&gt; ("&amp;if(I497="字符串", "string)", if(I497="数值", "int)", if(I497="布尔", "bool)", "int)time")))&amp;" _, //"&amp;G497&amp;", 如: "&amp;H497</f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x14ac:dyDescent="0.25" r="498" customHeight="1" ht="18">
      <c r="A498" s="35"/>
      <c r="B498" s="73"/>
      <c r="C498" s="35"/>
      <c r="D498" s="58"/>
      <c r="E498" s="35"/>
      <c r="F498" s="68" t="s">
        <v>1275</v>
      </c>
      <c r="G498" s="94" t="s">
        <v>1276</v>
      </c>
      <c r="H498" s="77" t="s">
        <v>1277</v>
      </c>
      <c r="I498" s="126" t="s">
        <v>460</v>
      </c>
      <c r="J498" s="37">
        <f>vlookup(F498, F:I, 4, 0)=I498</f>
      </c>
      <c r="K498" s="1"/>
      <c r="L498" s="1"/>
      <c r="M498" s="19">
        <f>char(10)&amp;"'"&amp;F498&amp;"' =&gt; ("&amp;if(I498="字符串", "string)", if(I498="数值", "int)", if(I498="布尔", "bool)", "int)time")))&amp;" _, //"&amp;G498&amp;", 如: "&amp;H498</f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x14ac:dyDescent="0.25" r="499" customHeight="1" ht="18">
      <c r="A499" s="35"/>
      <c r="B499" s="85"/>
      <c r="C499" s="35"/>
      <c r="D499" s="58"/>
      <c r="E499" s="35"/>
      <c r="F499" s="68" t="s">
        <v>701</v>
      </c>
      <c r="G499" s="94" t="s">
        <v>702</v>
      </c>
      <c r="H499" s="77" t="s">
        <v>644</v>
      </c>
      <c r="I499" s="68" t="s">
        <v>704</v>
      </c>
      <c r="J499" s="37">
        <f>vlookup(F499, F:I, 4, 0)=I499</f>
      </c>
      <c r="K499" s="1"/>
      <c r="L499" s="1"/>
      <c r="M499" s="19">
        <f>char(10)&amp;"'"&amp;F499&amp;"' =&gt; ("&amp;if(I499="字符串", "string)", if(I499="数值", "int)", if(I499="布尔", "bool)", "int)time")))&amp;" _, //"&amp;G499&amp;", 如: "&amp;H499</f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x14ac:dyDescent="0.25" r="500" customHeight="1" ht="18">
      <c r="A500" s="33"/>
      <c r="B500" s="2"/>
      <c r="C500" s="33"/>
      <c r="D500" s="33"/>
      <c r="E500" s="33"/>
      <c r="F500" s="33"/>
      <c r="G500" s="146"/>
      <c r="H500" s="147"/>
      <c r="I500" s="146"/>
      <c r="J500" s="6"/>
      <c r="K500" s="1"/>
      <c r="L500" s="1"/>
      <c r="M500" s="6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x14ac:dyDescent="0.25" r="501" customHeight="1" ht="18">
      <c r="A501" s="33"/>
      <c r="B501" s="2"/>
      <c r="C501" s="33"/>
      <c r="D501" s="33"/>
      <c r="E501" s="33"/>
      <c r="F501" s="33"/>
      <c r="G501" s="146"/>
      <c r="H501" s="147"/>
      <c r="I501" s="146"/>
      <c r="J501" s="6"/>
      <c r="K501" s="1"/>
      <c r="L501" s="1"/>
      <c r="M501" s="6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x14ac:dyDescent="0.25" r="502" customHeight="1" ht="18">
      <c r="A502" s="33"/>
      <c r="B502" s="2"/>
      <c r="C502" s="33"/>
      <c r="D502" s="33"/>
      <c r="E502" s="33"/>
      <c r="F502" s="33"/>
      <c r="G502" s="146"/>
      <c r="H502" s="147"/>
      <c r="I502" s="146"/>
      <c r="J502" s="6"/>
      <c r="K502" s="1"/>
      <c r="L502" s="1"/>
      <c r="M502" s="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x14ac:dyDescent="0.25" r="503" customHeight="1" ht="18">
      <c r="A503" s="33"/>
      <c r="B503" s="2"/>
      <c r="C503" s="33"/>
      <c r="D503" s="33"/>
      <c r="E503" s="33"/>
      <c r="F503" s="33"/>
      <c r="G503" s="146"/>
      <c r="H503" s="147"/>
      <c r="I503" s="146"/>
      <c r="J503" s="6"/>
      <c r="K503" s="1"/>
      <c r="L503" s="1"/>
      <c r="M503" s="6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x14ac:dyDescent="0.25" r="504" customHeight="1" ht="18">
      <c r="A504" s="33"/>
      <c r="B504" s="2"/>
      <c r="C504" s="33"/>
      <c r="D504" s="33"/>
      <c r="E504" s="33"/>
      <c r="F504" s="33"/>
      <c r="G504" s="146"/>
      <c r="H504" s="147"/>
      <c r="I504" s="146"/>
      <c r="J504" s="6"/>
      <c r="K504" s="1"/>
      <c r="L504" s="1"/>
      <c r="M504" s="6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x14ac:dyDescent="0.25" r="505" customHeight="1" ht="18">
      <c r="A505" s="33"/>
      <c r="B505" s="2"/>
      <c r="C505" s="33"/>
      <c r="D505" s="33"/>
      <c r="E505" s="33"/>
      <c r="F505" s="33"/>
      <c r="G505" s="146"/>
      <c r="H505" s="147"/>
      <c r="I505" s="146"/>
      <c r="J505" s="6"/>
      <c r="K505" s="1"/>
      <c r="L505" s="1"/>
      <c r="M505" s="6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</sheetData>
  <mergeCells count="330">
    <mergeCell ref="A1:J1"/>
    <mergeCell ref="A2:J2"/>
    <mergeCell ref="A3:A4"/>
    <mergeCell ref="B3:B4"/>
    <mergeCell ref="C3:C4"/>
    <mergeCell ref="D3:D4"/>
    <mergeCell ref="E3:E4"/>
    <mergeCell ref="F3:J3"/>
    <mergeCell ref="A5:A67"/>
    <mergeCell ref="B5:B68"/>
    <mergeCell ref="C5:C12"/>
    <mergeCell ref="D5:D12"/>
    <mergeCell ref="E5:E12"/>
    <mergeCell ref="C13:C21"/>
    <mergeCell ref="D13:D21"/>
    <mergeCell ref="E13:E21"/>
    <mergeCell ref="C22:C25"/>
    <mergeCell ref="D22:D25"/>
    <mergeCell ref="E22:E25"/>
    <mergeCell ref="C26:C35"/>
    <mergeCell ref="D26:D35"/>
    <mergeCell ref="E26:E35"/>
    <mergeCell ref="C36:C39"/>
    <mergeCell ref="D36:D39"/>
    <mergeCell ref="E36:E39"/>
    <mergeCell ref="C40:C48"/>
    <mergeCell ref="D40:D48"/>
    <mergeCell ref="E40:E48"/>
    <mergeCell ref="C49:C56"/>
    <mergeCell ref="D49:D56"/>
    <mergeCell ref="E49:E56"/>
    <mergeCell ref="C57:C59"/>
    <mergeCell ref="D57:D59"/>
    <mergeCell ref="E57:E59"/>
    <mergeCell ref="C60:C63"/>
    <mergeCell ref="D60:D63"/>
    <mergeCell ref="E60:E63"/>
    <mergeCell ref="C64:C68"/>
    <mergeCell ref="D64:D68"/>
    <mergeCell ref="E64:E68"/>
    <mergeCell ref="A69:A72"/>
    <mergeCell ref="B69:B72"/>
    <mergeCell ref="C69:C72"/>
    <mergeCell ref="D69:D72"/>
    <mergeCell ref="E69:E72"/>
    <mergeCell ref="A73:A75"/>
    <mergeCell ref="B73:B75"/>
    <mergeCell ref="C73:C75"/>
    <mergeCell ref="D73:D75"/>
    <mergeCell ref="E73:E75"/>
    <mergeCell ref="A76:A92"/>
    <mergeCell ref="B76:B92"/>
    <mergeCell ref="C76:C81"/>
    <mergeCell ref="D76:D81"/>
    <mergeCell ref="E76:E81"/>
    <mergeCell ref="C82:C88"/>
    <mergeCell ref="D82:D88"/>
    <mergeCell ref="E82:E88"/>
    <mergeCell ref="C89:C92"/>
    <mergeCell ref="D89:D92"/>
    <mergeCell ref="E89:E92"/>
    <mergeCell ref="A93:A95"/>
    <mergeCell ref="B93:B95"/>
    <mergeCell ref="C93:C95"/>
    <mergeCell ref="D93:D95"/>
    <mergeCell ref="E93:E95"/>
    <mergeCell ref="A96:A107"/>
    <mergeCell ref="B96:B107"/>
    <mergeCell ref="C96:C100"/>
    <mergeCell ref="D96:D100"/>
    <mergeCell ref="E96:E100"/>
    <mergeCell ref="C101:C107"/>
    <mergeCell ref="D101:D107"/>
    <mergeCell ref="E101:E107"/>
    <mergeCell ref="A108:A116"/>
    <mergeCell ref="B108:B116"/>
    <mergeCell ref="C108:C112"/>
    <mergeCell ref="D108:D112"/>
    <mergeCell ref="E108:E112"/>
    <mergeCell ref="C113:C116"/>
    <mergeCell ref="D113:D116"/>
    <mergeCell ref="E113:E116"/>
    <mergeCell ref="A117:A124"/>
    <mergeCell ref="B117:B124"/>
    <mergeCell ref="C117:C124"/>
    <mergeCell ref="D117:D124"/>
    <mergeCell ref="E117:E124"/>
    <mergeCell ref="A125:A136"/>
    <mergeCell ref="B125:B136"/>
    <mergeCell ref="C125:C129"/>
    <mergeCell ref="D125:D129"/>
    <mergeCell ref="E125:E129"/>
    <mergeCell ref="C130:C136"/>
    <mergeCell ref="D130:D136"/>
    <mergeCell ref="E130:E136"/>
    <mergeCell ref="A137:A148"/>
    <mergeCell ref="B137:B148"/>
    <mergeCell ref="C137:C141"/>
    <mergeCell ref="D137:D141"/>
    <mergeCell ref="E137:E141"/>
    <mergeCell ref="C142:C148"/>
    <mergeCell ref="D142:D148"/>
    <mergeCell ref="E142:E148"/>
    <mergeCell ref="A149:A156"/>
    <mergeCell ref="B149:B156"/>
    <mergeCell ref="C149:C153"/>
    <mergeCell ref="D149:D153"/>
    <mergeCell ref="E149:E153"/>
    <mergeCell ref="C154:C156"/>
    <mergeCell ref="D154:D156"/>
    <mergeCell ref="E154:E156"/>
    <mergeCell ref="A157:A160"/>
    <mergeCell ref="B157:B160"/>
    <mergeCell ref="C157:C160"/>
    <mergeCell ref="D157:D160"/>
    <mergeCell ref="E157:E160"/>
    <mergeCell ref="A161:A208"/>
    <mergeCell ref="B161:B208"/>
    <mergeCell ref="C161:C166"/>
    <mergeCell ref="D161:D166"/>
    <mergeCell ref="E161:E166"/>
    <mergeCell ref="C167:C170"/>
    <mergeCell ref="D167:D170"/>
    <mergeCell ref="E167:E170"/>
    <mergeCell ref="C171:C172"/>
    <mergeCell ref="D171:D172"/>
    <mergeCell ref="E171:E172"/>
    <mergeCell ref="C173:C179"/>
    <mergeCell ref="D173:D179"/>
    <mergeCell ref="E173:E179"/>
    <mergeCell ref="C180:C186"/>
    <mergeCell ref="D180:D186"/>
    <mergeCell ref="E180:E186"/>
    <mergeCell ref="C187:C189"/>
    <mergeCell ref="D187:D189"/>
    <mergeCell ref="E187:E189"/>
    <mergeCell ref="C190:C192"/>
    <mergeCell ref="D190:D192"/>
    <mergeCell ref="E190:E192"/>
    <mergeCell ref="C193:C205"/>
    <mergeCell ref="D193:D205"/>
    <mergeCell ref="E193:E205"/>
    <mergeCell ref="C206:C208"/>
    <mergeCell ref="D206:D208"/>
    <mergeCell ref="E206:E208"/>
    <mergeCell ref="A209:A233"/>
    <mergeCell ref="B209:B233"/>
    <mergeCell ref="C209:C210"/>
    <mergeCell ref="D209:D210"/>
    <mergeCell ref="E209:E210"/>
    <mergeCell ref="C211:C217"/>
    <mergeCell ref="D211:D217"/>
    <mergeCell ref="E211:E217"/>
    <mergeCell ref="C219:C223"/>
    <mergeCell ref="D219:D223"/>
    <mergeCell ref="E219:E223"/>
    <mergeCell ref="C224:C233"/>
    <mergeCell ref="D224:D233"/>
    <mergeCell ref="E224:E233"/>
    <mergeCell ref="A234:A243"/>
    <mergeCell ref="B234:B243"/>
    <mergeCell ref="C234:C243"/>
    <mergeCell ref="D234:D243"/>
    <mergeCell ref="E234:E243"/>
    <mergeCell ref="A245:A247"/>
    <mergeCell ref="B245:B247"/>
    <mergeCell ref="C245:C247"/>
    <mergeCell ref="D245:D247"/>
    <mergeCell ref="E245:E247"/>
    <mergeCell ref="A248:A297"/>
    <mergeCell ref="B248:B297"/>
    <mergeCell ref="C248:C251"/>
    <mergeCell ref="D248:D251"/>
    <mergeCell ref="E248:E251"/>
    <mergeCell ref="C252:C256"/>
    <mergeCell ref="D252:D256"/>
    <mergeCell ref="E252:E256"/>
    <mergeCell ref="C257:C262"/>
    <mergeCell ref="D257:D262"/>
    <mergeCell ref="E257:E262"/>
    <mergeCell ref="C263:C266"/>
    <mergeCell ref="D263:D266"/>
    <mergeCell ref="E263:E266"/>
    <mergeCell ref="C267:C272"/>
    <mergeCell ref="D267:D272"/>
    <mergeCell ref="E267:E272"/>
    <mergeCell ref="C273:C276"/>
    <mergeCell ref="D273:D276"/>
    <mergeCell ref="E273:E276"/>
    <mergeCell ref="C277:C282"/>
    <mergeCell ref="D277:D282"/>
    <mergeCell ref="E277:E282"/>
    <mergeCell ref="C283:C287"/>
    <mergeCell ref="D283:D287"/>
    <mergeCell ref="E283:E287"/>
    <mergeCell ref="C288:C297"/>
    <mergeCell ref="D288:D297"/>
    <mergeCell ref="E288:E297"/>
    <mergeCell ref="A298:A303"/>
    <mergeCell ref="B298:B303"/>
    <mergeCell ref="C298:C303"/>
    <mergeCell ref="D298:D303"/>
    <mergeCell ref="E298:E303"/>
    <mergeCell ref="A304:A328"/>
    <mergeCell ref="B304:B328"/>
    <mergeCell ref="C304:C310"/>
    <mergeCell ref="D304:D310"/>
    <mergeCell ref="E304:E310"/>
    <mergeCell ref="C311:C317"/>
    <mergeCell ref="D311:D317"/>
    <mergeCell ref="E311:E317"/>
    <mergeCell ref="C318:C323"/>
    <mergeCell ref="D318:D323"/>
    <mergeCell ref="E318:E323"/>
    <mergeCell ref="C324:C325"/>
    <mergeCell ref="D324:D325"/>
    <mergeCell ref="E324:E325"/>
    <mergeCell ref="C326:C328"/>
    <mergeCell ref="D326:D328"/>
    <mergeCell ref="E326:E328"/>
    <mergeCell ref="A329:A352"/>
    <mergeCell ref="B329:B352"/>
    <mergeCell ref="C329:C339"/>
    <mergeCell ref="D329:D339"/>
    <mergeCell ref="E329:E339"/>
    <mergeCell ref="C340:C352"/>
    <mergeCell ref="D340:D352"/>
    <mergeCell ref="E340:E352"/>
    <mergeCell ref="A353:A358"/>
    <mergeCell ref="B353:B358"/>
    <mergeCell ref="C353:C358"/>
    <mergeCell ref="D353:D358"/>
    <mergeCell ref="E353:E358"/>
    <mergeCell ref="A359:A388"/>
    <mergeCell ref="B359:B388"/>
    <mergeCell ref="C359:C388"/>
    <mergeCell ref="D359:D388"/>
    <mergeCell ref="E359:E388"/>
    <mergeCell ref="A389:A393"/>
    <mergeCell ref="B389:B393"/>
    <mergeCell ref="C389:C393"/>
    <mergeCell ref="D389:D393"/>
    <mergeCell ref="E389:E393"/>
    <mergeCell ref="A394:A401"/>
    <mergeCell ref="B394:B401"/>
    <mergeCell ref="C394:C401"/>
    <mergeCell ref="D394:D401"/>
    <mergeCell ref="E394:E401"/>
    <mergeCell ref="A402:A406"/>
    <mergeCell ref="B402:B406"/>
    <mergeCell ref="C402:C406"/>
    <mergeCell ref="D402:D406"/>
    <mergeCell ref="E402:E406"/>
    <mergeCell ref="A407:A419"/>
    <mergeCell ref="B407:B419"/>
    <mergeCell ref="C407:C412"/>
    <mergeCell ref="D407:D412"/>
    <mergeCell ref="E407:E412"/>
    <mergeCell ref="C413:C417"/>
    <mergeCell ref="D413:D417"/>
    <mergeCell ref="E413:E417"/>
    <mergeCell ref="C418:C419"/>
    <mergeCell ref="D418:D419"/>
    <mergeCell ref="E418:E419"/>
    <mergeCell ref="A420:A425"/>
    <mergeCell ref="B420:B425"/>
    <mergeCell ref="C420:C425"/>
    <mergeCell ref="D420:D425"/>
    <mergeCell ref="E420:E425"/>
    <mergeCell ref="A426:A435"/>
    <mergeCell ref="B426:B435"/>
    <mergeCell ref="C426:C430"/>
    <mergeCell ref="D426:D430"/>
    <mergeCell ref="E426:E430"/>
    <mergeCell ref="C431:C435"/>
    <mergeCell ref="D431:D435"/>
    <mergeCell ref="E431:E435"/>
    <mergeCell ref="A436:A441"/>
    <mergeCell ref="B436:B441"/>
    <mergeCell ref="C436:C438"/>
    <mergeCell ref="D436:D438"/>
    <mergeCell ref="E436:E438"/>
    <mergeCell ref="C439:C441"/>
    <mergeCell ref="D439:D441"/>
    <mergeCell ref="E439:E441"/>
    <mergeCell ref="A442:A446"/>
    <mergeCell ref="B442:B446"/>
    <mergeCell ref="C442:C446"/>
    <mergeCell ref="D442:D446"/>
    <mergeCell ref="E442:E446"/>
    <mergeCell ref="A447:A459"/>
    <mergeCell ref="B447:B459"/>
    <mergeCell ref="C447:C459"/>
    <mergeCell ref="D447:D459"/>
    <mergeCell ref="E447:E459"/>
    <mergeCell ref="A460:A469"/>
    <mergeCell ref="B460:B469"/>
    <mergeCell ref="C460:C461"/>
    <mergeCell ref="D460:D461"/>
    <mergeCell ref="E460:E461"/>
    <mergeCell ref="C462:C464"/>
    <mergeCell ref="D462:D464"/>
    <mergeCell ref="E462:E464"/>
    <mergeCell ref="C466:C467"/>
    <mergeCell ref="D466:D467"/>
    <mergeCell ref="E466:E467"/>
    <mergeCell ref="C468:C469"/>
    <mergeCell ref="D468:D469"/>
    <mergeCell ref="E468:E469"/>
    <mergeCell ref="A470:A473"/>
    <mergeCell ref="B470:B473"/>
    <mergeCell ref="C470:C473"/>
    <mergeCell ref="D470:D473"/>
    <mergeCell ref="E470:E473"/>
    <mergeCell ref="A474:A495"/>
    <mergeCell ref="B474:B495"/>
    <mergeCell ref="C474:C477"/>
    <mergeCell ref="D474:D477"/>
    <mergeCell ref="E474:E477"/>
    <mergeCell ref="C478:C486"/>
    <mergeCell ref="D478:D486"/>
    <mergeCell ref="E478:E486"/>
    <mergeCell ref="C487:C495"/>
    <mergeCell ref="D487:D495"/>
    <mergeCell ref="E487:E495"/>
    <mergeCell ref="A496:A499"/>
    <mergeCell ref="B496:B499"/>
    <mergeCell ref="C496:C499"/>
    <mergeCell ref="D496:D499"/>
    <mergeCell ref="E496:E49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7"/>
  <sheetViews>
    <sheetView workbookViewId="0"/>
  </sheetViews>
  <sheetFormatPr defaultRowHeight="15" x14ac:dyDescent="0.25"/>
  <cols>
    <col min="1" max="1" style="5" width="30.005" customWidth="1" bestFit="1"/>
    <col min="2" max="2" style="5" width="24.005" customWidth="1" bestFit="1"/>
    <col min="3" max="3" style="5" width="12.005" customWidth="1" bestFit="1"/>
    <col min="4" max="4" style="5" width="30.005" customWidth="1" bestFit="1"/>
    <col min="5" max="5" style="5" width="107.005" customWidth="1" bestFit="1"/>
    <col min="6" max="6" style="5" width="14.005" customWidth="1" bestFit="1"/>
    <col min="7" max="7" style="5" width="14.005" customWidth="1" bestFit="1"/>
    <col min="8" max="8" style="5" width="14.005" customWidth="1" bestFit="1"/>
    <col min="9" max="9" style="5" width="14.005" customWidth="1" bestFit="1"/>
    <col min="10" max="10" style="5" width="14.005" customWidth="1" bestFit="1"/>
    <col min="11" max="11" style="5" width="14.005" customWidth="1" bestFit="1"/>
    <col min="12" max="12" style="5" width="14.005" customWidth="1" bestFit="1"/>
    <col min="13" max="13" style="5" width="14.005" customWidth="1" bestFit="1"/>
    <col min="14" max="14" style="5" width="14.005" customWidth="1" bestFit="1"/>
    <col min="15" max="15" style="5" width="14.005" customWidth="1" bestFit="1"/>
    <col min="16" max="16" style="5" width="14.005" customWidth="1" bestFit="1"/>
    <col min="17" max="17" style="5" width="14.005" customWidth="1" bestFit="1"/>
    <col min="18" max="18" style="5" width="14.005" customWidth="1" bestFit="1"/>
    <col min="19" max="19" style="5" width="14.005" customWidth="1" bestFit="1"/>
    <col min="20" max="20" style="5" width="14.005" customWidth="1" bestFit="1"/>
    <col min="21" max="21" style="5" width="14.005" customWidth="1" bestFit="1"/>
    <col min="22" max="22" style="5" width="14.005" customWidth="1" bestFit="1"/>
    <col min="23" max="23" style="5" width="14.005" customWidth="1" bestFit="1"/>
    <col min="24" max="24" style="5" width="14.005" customWidth="1" bestFit="1"/>
    <col min="25" max="25" style="5" width="14.005" customWidth="1" bestFit="1"/>
    <col min="26" max="26" style="5" width="14.005" customWidth="1" bestFit="1"/>
  </cols>
  <sheetData>
    <row x14ac:dyDescent="0.25" r="1" customHeight="1" ht="18">
      <c r="A1" s="49" t="s">
        <v>440</v>
      </c>
      <c r="B1" s="35"/>
      <c r="C1" s="35"/>
      <c r="D1" s="35"/>
      <c r="E1" s="35"/>
      <c r="F1" s="5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8">
      <c r="A2" s="51" t="s">
        <v>441</v>
      </c>
      <c r="B2" s="35"/>
      <c r="C2" s="35"/>
      <c r="D2" s="35"/>
      <c r="E2" s="35"/>
      <c r="F2" s="5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">
      <c r="A3" s="52" t="s">
        <v>442</v>
      </c>
      <c r="B3" s="49" t="s">
        <v>443</v>
      </c>
      <c r="C3" s="49" t="s">
        <v>444</v>
      </c>
      <c r="D3" s="49" t="s">
        <v>445</v>
      </c>
      <c r="E3" s="49" t="s">
        <v>446</v>
      </c>
      <c r="F3" s="5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">
      <c r="A4" s="53" t="s">
        <v>447</v>
      </c>
      <c r="B4" s="53" t="s">
        <v>448</v>
      </c>
      <c r="C4" s="35" t="s">
        <v>449</v>
      </c>
      <c r="D4" s="35" t="s">
        <v>450</v>
      </c>
      <c r="E4" s="35" t="s">
        <v>451</v>
      </c>
      <c r="F4" s="5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">
      <c r="A5" s="35" t="s">
        <v>452</v>
      </c>
      <c r="B5" s="53" t="s">
        <v>453</v>
      </c>
      <c r="C5" s="35" t="s">
        <v>449</v>
      </c>
      <c r="D5" s="35" t="s">
        <v>450</v>
      </c>
      <c r="E5" s="35" t="s">
        <v>454</v>
      </c>
      <c r="F5" s="5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">
      <c r="A6" s="53" t="s">
        <v>455</v>
      </c>
      <c r="B6" s="53" t="s">
        <v>456</v>
      </c>
      <c r="C6" s="35" t="s">
        <v>449</v>
      </c>
      <c r="D6" s="35" t="s">
        <v>450</v>
      </c>
      <c r="E6" s="35" t="s">
        <v>457</v>
      </c>
      <c r="F6" s="5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">
      <c r="A7" s="53" t="s">
        <v>458</v>
      </c>
      <c r="B7" s="53" t="s">
        <v>459</v>
      </c>
      <c r="C7" s="35" t="s">
        <v>460</v>
      </c>
      <c r="D7" s="35" t="s">
        <v>461</v>
      </c>
      <c r="E7" s="35" t="s">
        <v>462</v>
      </c>
      <c r="F7" s="5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">
      <c r="A8" s="53" t="s">
        <v>463</v>
      </c>
      <c r="B8" s="53" t="s">
        <v>464</v>
      </c>
      <c r="C8" s="35" t="s">
        <v>460</v>
      </c>
      <c r="D8" s="35" t="s">
        <v>450</v>
      </c>
      <c r="E8" s="35" t="s">
        <v>465</v>
      </c>
      <c r="F8" s="5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">
      <c r="A9" s="53" t="s">
        <v>466</v>
      </c>
      <c r="B9" s="53" t="s">
        <v>467</v>
      </c>
      <c r="C9" s="35" t="s">
        <v>468</v>
      </c>
      <c r="D9" s="35" t="s">
        <v>461</v>
      </c>
      <c r="E9" s="35" t="s">
        <v>469</v>
      </c>
      <c r="F9" s="5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">
      <c r="A10" s="53" t="s">
        <v>470</v>
      </c>
      <c r="B10" s="53" t="s">
        <v>471</v>
      </c>
      <c r="C10" s="35" t="s">
        <v>468</v>
      </c>
      <c r="D10" s="35" t="s">
        <v>461</v>
      </c>
      <c r="E10" s="35" t="s">
        <v>472</v>
      </c>
      <c r="F10" s="5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">
      <c r="A11" s="53" t="s">
        <v>473</v>
      </c>
      <c r="B11" s="53" t="s">
        <v>474</v>
      </c>
      <c r="C11" s="35" t="s">
        <v>468</v>
      </c>
      <c r="D11" s="35" t="s">
        <v>450</v>
      </c>
      <c r="E11" s="35" t="s">
        <v>475</v>
      </c>
      <c r="F11" s="50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">
      <c r="A12" s="53" t="s">
        <v>476</v>
      </c>
      <c r="B12" s="53" t="s">
        <v>477</v>
      </c>
      <c r="C12" s="35" t="s">
        <v>468</v>
      </c>
      <c r="D12" s="35" t="s">
        <v>461</v>
      </c>
      <c r="E12" s="35" t="s">
        <v>478</v>
      </c>
      <c r="F12" s="5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">
      <c r="A13" s="53" t="s">
        <v>479</v>
      </c>
      <c r="B13" s="53" t="s">
        <v>480</v>
      </c>
      <c r="C13" s="35" t="s">
        <v>481</v>
      </c>
      <c r="D13" s="35" t="s">
        <v>461</v>
      </c>
      <c r="E13" s="35" t="s">
        <v>478</v>
      </c>
      <c r="F13" s="5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">
      <c r="A14" s="53" t="s">
        <v>482</v>
      </c>
      <c r="B14" s="53" t="s">
        <v>483</v>
      </c>
      <c r="C14" s="35" t="s">
        <v>468</v>
      </c>
      <c r="D14" s="35" t="s">
        <v>450</v>
      </c>
      <c r="E14" s="35" t="s">
        <v>484</v>
      </c>
      <c r="F14" s="5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">
      <c r="A15" s="53" t="s">
        <v>485</v>
      </c>
      <c r="B15" s="53" t="s">
        <v>486</v>
      </c>
      <c r="C15" s="35" t="s">
        <v>481</v>
      </c>
      <c r="D15" s="35" t="s">
        <v>487</v>
      </c>
      <c r="E15" s="35" t="s">
        <v>488</v>
      </c>
      <c r="F15" s="5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">
      <c r="A16" s="53" t="s">
        <v>489</v>
      </c>
      <c r="B16" s="53" t="s">
        <v>490</v>
      </c>
      <c r="C16" s="35" t="s">
        <v>481</v>
      </c>
      <c r="D16" s="35" t="s">
        <v>487</v>
      </c>
      <c r="E16" s="35" t="s">
        <v>491</v>
      </c>
      <c r="F16" s="5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">
      <c r="A17" s="53" t="s">
        <v>492</v>
      </c>
      <c r="B17" s="53" t="s">
        <v>493</v>
      </c>
      <c r="C17" s="35" t="s">
        <v>481</v>
      </c>
      <c r="D17" s="35" t="s">
        <v>450</v>
      </c>
      <c r="E17" s="35" t="s">
        <v>494</v>
      </c>
      <c r="F17" s="5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">
      <c r="A18" s="53" t="s">
        <v>495</v>
      </c>
      <c r="B18" s="53" t="s">
        <v>496</v>
      </c>
      <c r="C18" s="35" t="s">
        <v>481</v>
      </c>
      <c r="D18" s="35" t="s">
        <v>450</v>
      </c>
      <c r="E18" s="35" t="s">
        <v>465</v>
      </c>
      <c r="F18" s="5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">
      <c r="A19" s="53" t="s">
        <v>497</v>
      </c>
      <c r="B19" s="53" t="s">
        <v>498</v>
      </c>
      <c r="C19" s="35" t="s">
        <v>481</v>
      </c>
      <c r="D19" s="35" t="s">
        <v>450</v>
      </c>
      <c r="E19" s="35" t="s">
        <v>465</v>
      </c>
      <c r="F19" s="5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">
      <c r="A20" s="35" t="s">
        <v>499</v>
      </c>
      <c r="B20" s="35" t="s">
        <v>500</v>
      </c>
      <c r="C20" s="35" t="s">
        <v>481</v>
      </c>
      <c r="D20" s="35" t="s">
        <v>450</v>
      </c>
      <c r="E20" s="35" t="s">
        <v>465</v>
      </c>
      <c r="F20" s="5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">
      <c r="A21" s="35" t="s">
        <v>501</v>
      </c>
      <c r="B21" s="54" t="s">
        <v>502</v>
      </c>
      <c r="C21" s="54" t="s">
        <v>460</v>
      </c>
      <c r="D21" s="35" t="s">
        <v>450</v>
      </c>
      <c r="E21" s="35" t="s">
        <v>465</v>
      </c>
      <c r="F21" s="5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9.5">
      <c r="A22" s="35" t="s">
        <v>503</v>
      </c>
      <c r="B22" s="35" t="s">
        <v>504</v>
      </c>
      <c r="C22" s="35" t="s">
        <v>481</v>
      </c>
      <c r="D22" s="35" t="s">
        <v>450</v>
      </c>
      <c r="E22" s="35" t="s">
        <v>465</v>
      </c>
      <c r="F22" s="5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9.5">
      <c r="A23" s="55" t="s">
        <v>505</v>
      </c>
      <c r="B23" s="55" t="s">
        <v>506</v>
      </c>
      <c r="C23" s="35" t="s">
        <v>481</v>
      </c>
      <c r="D23" s="35" t="s">
        <v>450</v>
      </c>
      <c r="E23" s="35" t="s">
        <v>465</v>
      </c>
      <c r="F23" s="5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9.5">
      <c r="A24" s="53" t="s">
        <v>507</v>
      </c>
      <c r="B24" s="53" t="s">
        <v>508</v>
      </c>
      <c r="C24" s="35" t="s">
        <v>481</v>
      </c>
      <c r="D24" s="35" t="s">
        <v>450</v>
      </c>
      <c r="E24" s="35" t="s">
        <v>465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9.5">
      <c r="A25" s="53" t="s">
        <v>509</v>
      </c>
      <c r="B25" s="55" t="s">
        <v>510</v>
      </c>
      <c r="C25" s="35" t="s">
        <v>460</v>
      </c>
      <c r="D25" s="35" t="s">
        <v>450</v>
      </c>
      <c r="E25" s="35" t="s">
        <v>465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9.5">
      <c r="A26" s="35" t="s">
        <v>511</v>
      </c>
      <c r="B26" s="56" t="s">
        <v>512</v>
      </c>
      <c r="C26" s="57" t="s">
        <v>481</v>
      </c>
      <c r="D26" s="35" t="s">
        <v>450</v>
      </c>
      <c r="E26" s="35" t="s">
        <v>465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9.5">
      <c r="A27" s="35" t="s">
        <v>513</v>
      </c>
      <c r="B27" s="58" t="s">
        <v>514</v>
      </c>
      <c r="C27" s="35" t="s">
        <v>481</v>
      </c>
      <c r="D27" s="35" t="s">
        <v>450</v>
      </c>
      <c r="E27" s="35" t="s">
        <v>465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9.5">
      <c r="A28" s="57" t="s">
        <v>515</v>
      </c>
      <c r="B28" s="59" t="s">
        <v>516</v>
      </c>
      <c r="C28" s="57" t="s">
        <v>481</v>
      </c>
      <c r="D28" s="57" t="s">
        <v>450</v>
      </c>
      <c r="E28" s="57" t="s">
        <v>465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9.5">
      <c r="A29" s="35" t="s">
        <v>517</v>
      </c>
      <c r="B29" s="35" t="s">
        <v>518</v>
      </c>
      <c r="C29" s="35" t="s">
        <v>481</v>
      </c>
      <c r="D29" s="35" t="s">
        <v>450</v>
      </c>
      <c r="E29" s="35" t="s">
        <v>465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9.5">
      <c r="A30" s="57" t="s">
        <v>519</v>
      </c>
      <c r="B30" s="57" t="s">
        <v>520</v>
      </c>
      <c r="C30" s="57" t="s">
        <v>481</v>
      </c>
      <c r="D30" s="57" t="s">
        <v>450</v>
      </c>
      <c r="E30" s="57" t="s">
        <v>465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9.5">
      <c r="A31" s="60"/>
      <c r="B31" s="60"/>
      <c r="C31" s="60"/>
      <c r="D31" s="60"/>
      <c r="E31" s="6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9.5">
      <c r="A32" s="60"/>
      <c r="B32" s="60"/>
      <c r="C32" s="60"/>
      <c r="D32" s="60"/>
      <c r="E32" s="6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20.25">
      <c r="A33" s="60"/>
      <c r="B33" s="60"/>
      <c r="C33" s="60"/>
      <c r="D33" s="60"/>
      <c r="E33" s="6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410"/>
  <sheetViews>
    <sheetView workbookViewId="0"/>
  </sheetViews>
  <sheetFormatPr defaultRowHeight="15" x14ac:dyDescent="0.25"/>
  <cols>
    <col min="1" max="1" style="5" width="14.005" customWidth="1" bestFit="1"/>
    <col min="2" max="2" style="5" width="23.005" customWidth="1" bestFit="1"/>
    <col min="3" max="3" style="5" width="57.005" customWidth="1" bestFit="1"/>
    <col min="4" max="4" style="46" width="21.005" customWidth="1" bestFit="1"/>
    <col min="5" max="5" style="47" width="40.005" customWidth="1" bestFit="1"/>
    <col min="6" max="6" style="47" width="15.005" customWidth="1" bestFit="1"/>
    <col min="7" max="7" style="48" width="23.005" customWidth="1" bestFit="1"/>
    <col min="8" max="8" style="47" width="14.005" customWidth="1" bestFit="1"/>
    <col min="9" max="9" style="48" width="14.005" customWidth="1" bestFit="1"/>
    <col min="10" max="10" style="48" width="14.005" customWidth="1" bestFit="1"/>
    <col min="11" max="11" style="5" width="14.005" customWidth="1" bestFit="1"/>
    <col min="12" max="12" style="5" width="14.005" customWidth="1" bestFit="1"/>
    <col min="13" max="13" style="5" width="14.005" customWidth="1" bestFit="1"/>
    <col min="14" max="14" style="5" width="14.005" customWidth="1" bestFit="1"/>
    <col min="15" max="15" style="5" width="14.005" customWidth="1" bestFit="1"/>
    <col min="16" max="16" style="5" width="14.005" customWidth="1" bestFit="1"/>
    <col min="17" max="17" style="5" width="14.005" customWidth="1" bestFit="1"/>
    <col min="18" max="18" style="5" width="14.005" customWidth="1" bestFit="1"/>
    <col min="19" max="19" style="5" width="14.005" customWidth="1" bestFit="1"/>
    <col min="20" max="20" style="5" width="14.005" customWidth="1" bestFit="1"/>
    <col min="21" max="21" style="5" width="14.005" customWidth="1" bestFit="1"/>
    <col min="22" max="22" style="5" width="14.005" customWidth="1" bestFit="1"/>
    <col min="23" max="23" style="5" width="14.005" customWidth="1" bestFit="1"/>
    <col min="24" max="24" style="5" width="14.005" customWidth="1" bestFit="1"/>
    <col min="25" max="25" style="5" width="14.005" customWidth="1" bestFit="1"/>
  </cols>
  <sheetData>
    <row x14ac:dyDescent="0.25" r="1" customHeight="1" ht="18">
      <c r="A1" s="1"/>
      <c r="B1" s="1"/>
      <c r="C1" s="1"/>
      <c r="D1" s="6"/>
      <c r="E1" s="6"/>
      <c r="F1" s="6"/>
      <c r="G1" s="7"/>
      <c r="H1" s="6"/>
      <c r="I1" s="7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x14ac:dyDescent="0.25" r="2" customHeight="1" ht="18">
      <c r="A2" s="1"/>
      <c r="B2" s="1"/>
      <c r="C2" s="1"/>
      <c r="D2" s="6"/>
      <c r="E2" s="6"/>
      <c r="F2" s="6"/>
      <c r="G2" s="7"/>
      <c r="H2" s="6"/>
      <c r="I2" s="7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x14ac:dyDescent="0.25" r="3" customHeight="1" ht="18">
      <c r="A3" s="1"/>
      <c r="B3" s="1"/>
      <c r="C3" s="1"/>
      <c r="D3" s="6"/>
      <c r="E3" s="6"/>
      <c r="F3" s="6"/>
      <c r="G3" s="7"/>
      <c r="H3" s="6"/>
      <c r="I3" s="7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x14ac:dyDescent="0.25" r="4" customHeight="1" ht="18">
      <c r="A4" s="2"/>
      <c r="B4" s="8" t="s">
        <v>14</v>
      </c>
      <c r="C4" s="9"/>
      <c r="D4" s="10"/>
      <c r="E4" s="10"/>
      <c r="F4" s="10"/>
      <c r="G4" s="2"/>
      <c r="H4" s="11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x14ac:dyDescent="0.25" r="5" customHeight="1" ht="18">
      <c r="A5" s="2"/>
      <c r="B5" s="12" t="s">
        <v>15</v>
      </c>
      <c r="C5" s="12" t="s">
        <v>16</v>
      </c>
      <c r="D5" s="13" t="s">
        <v>17</v>
      </c>
      <c r="E5" s="13" t="s">
        <v>18</v>
      </c>
      <c r="F5" s="13" t="s">
        <v>19</v>
      </c>
      <c r="G5" s="2"/>
      <c r="H5" s="11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x14ac:dyDescent="0.25" r="6" customHeight="1" ht="18">
      <c r="A6" s="2"/>
      <c r="B6" s="14" t="s">
        <v>20</v>
      </c>
      <c r="C6" s="15" t="s">
        <v>21</v>
      </c>
      <c r="D6" s="16">
        <v>100</v>
      </c>
      <c r="E6" s="17"/>
      <c r="F6" s="18">
        <v>1</v>
      </c>
      <c r="G6" s="2" t="s">
        <v>22</v>
      </c>
      <c r="H6" s="19">
        <v>3</v>
      </c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x14ac:dyDescent="0.25" r="7" customHeight="1" ht="18">
      <c r="A7" s="2"/>
      <c r="B7" s="20"/>
      <c r="C7" s="21" t="s">
        <v>23</v>
      </c>
      <c r="D7" s="22">
        <v>105</v>
      </c>
      <c r="E7" s="23"/>
      <c r="F7" s="24">
        <v>1</v>
      </c>
      <c r="G7" s="2" t="s">
        <v>22</v>
      </c>
      <c r="H7" s="19">
        <v>1</v>
      </c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x14ac:dyDescent="0.25" r="8" customHeight="1" ht="18">
      <c r="A8" s="2"/>
      <c r="B8" s="20"/>
      <c r="C8" s="21" t="s">
        <v>24</v>
      </c>
      <c r="D8" s="22">
        <v>110</v>
      </c>
      <c r="E8" s="23"/>
      <c r="F8" s="24">
        <v>1</v>
      </c>
      <c r="G8" s="2" t="s">
        <v>22</v>
      </c>
      <c r="H8" s="19">
        <v>2</v>
      </c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x14ac:dyDescent="0.25" r="9" customHeight="1" ht="18">
      <c r="A9" s="2"/>
      <c r="B9" s="20"/>
      <c r="C9" s="21" t="s">
        <v>25</v>
      </c>
      <c r="D9" s="22">
        <v>115</v>
      </c>
      <c r="E9" s="23"/>
      <c r="F9" s="24">
        <v>1</v>
      </c>
      <c r="G9" s="2" t="s">
        <v>22</v>
      </c>
      <c r="H9" s="11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x14ac:dyDescent="0.25" r="10" customHeight="1" ht="18">
      <c r="A10" s="2"/>
      <c r="B10" s="20"/>
      <c r="C10" s="21" t="s">
        <v>26</v>
      </c>
      <c r="D10" s="22">
        <v>120</v>
      </c>
      <c r="E10" s="23"/>
      <c r="F10" s="24">
        <v>1</v>
      </c>
      <c r="G10" s="2" t="s">
        <v>22</v>
      </c>
      <c r="H10" s="19">
        <v>4</v>
      </c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x14ac:dyDescent="0.25" r="11" customHeight="1" ht="18">
      <c r="A11" s="2"/>
      <c r="B11" s="20"/>
      <c r="C11" s="21" t="s">
        <v>27</v>
      </c>
      <c r="D11" s="22">
        <v>125</v>
      </c>
      <c r="E11" s="23"/>
      <c r="F11" s="24">
        <v>1</v>
      </c>
      <c r="G11" s="2" t="s">
        <v>22</v>
      </c>
      <c r="H11" s="19">
        <v>5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x14ac:dyDescent="0.25" r="12" customHeight="1" ht="18">
      <c r="A12" s="2"/>
      <c r="B12" s="20"/>
      <c r="C12" s="21" t="s">
        <v>28</v>
      </c>
      <c r="D12" s="22">
        <v>130</v>
      </c>
      <c r="E12" s="23"/>
      <c r="F12" s="24">
        <v>1</v>
      </c>
      <c r="G12" s="2" t="s">
        <v>22</v>
      </c>
      <c r="H12" s="11"/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x14ac:dyDescent="0.25" r="13" customHeight="1" ht="18">
      <c r="A13" s="2"/>
      <c r="B13" s="20"/>
      <c r="C13" s="25" t="s">
        <v>29</v>
      </c>
      <c r="D13" s="26">
        <v>135</v>
      </c>
      <c r="E13" s="27"/>
      <c r="F13" s="28">
        <v>1</v>
      </c>
      <c r="G13" s="2" t="s">
        <v>22</v>
      </c>
      <c r="H13" s="19">
        <v>6</v>
      </c>
      <c r="I13" s="2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x14ac:dyDescent="0.25" r="14" customHeight="1" ht="18">
      <c r="A14" s="2"/>
      <c r="B14" s="29"/>
      <c r="C14" s="30" t="s">
        <v>30</v>
      </c>
      <c r="D14" s="22">
        <v>140</v>
      </c>
      <c r="E14" s="22"/>
      <c r="F14" s="24">
        <v>1</v>
      </c>
      <c r="G14" s="2" t="s">
        <v>22</v>
      </c>
      <c r="H14" s="19">
        <v>7</v>
      </c>
      <c r="I14" s="2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x14ac:dyDescent="0.25" r="15" customHeight="1" ht="18">
      <c r="A15" s="2"/>
      <c r="B15" s="29"/>
      <c r="C15" s="30" t="s">
        <v>31</v>
      </c>
      <c r="D15" s="22">
        <v>145</v>
      </c>
      <c r="E15" s="22"/>
      <c r="F15" s="24">
        <v>1</v>
      </c>
      <c r="G15" s="2" t="s">
        <v>22</v>
      </c>
      <c r="H15" s="11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x14ac:dyDescent="0.25" r="16" customHeight="1" ht="18">
      <c r="A16" s="2"/>
      <c r="B16" s="20"/>
      <c r="C16" s="31" t="s">
        <v>32</v>
      </c>
      <c r="D16" s="16">
        <v>150</v>
      </c>
      <c r="E16" s="17" t="s">
        <v>33</v>
      </c>
      <c r="F16" s="18">
        <v>1</v>
      </c>
      <c r="G16" s="2" t="s">
        <v>34</v>
      </c>
      <c r="H16" s="11"/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x14ac:dyDescent="0.25" r="17" customHeight="1" ht="18">
      <c r="A17" s="2"/>
      <c r="B17" s="20"/>
      <c r="C17" s="32" t="s">
        <v>35</v>
      </c>
      <c r="D17" s="22">
        <v>155</v>
      </c>
      <c r="E17" s="23"/>
      <c r="F17" s="24">
        <v>1</v>
      </c>
      <c r="G17" s="2" t="s">
        <v>34</v>
      </c>
      <c r="H17" s="11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x14ac:dyDescent="0.25" r="18" customHeight="1" ht="18">
      <c r="A18" s="2"/>
      <c r="B18" s="20"/>
      <c r="C18" s="32" t="s">
        <v>36</v>
      </c>
      <c r="D18" s="22">
        <v>160</v>
      </c>
      <c r="E18" s="23"/>
      <c r="F18" s="24">
        <v>1</v>
      </c>
      <c r="G18" s="2" t="s">
        <v>34</v>
      </c>
      <c r="H18" s="11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x14ac:dyDescent="0.25" r="19" customHeight="1" ht="18">
      <c r="A19" s="2"/>
      <c r="B19" s="20"/>
      <c r="C19" s="32" t="s">
        <v>37</v>
      </c>
      <c r="D19" s="22">
        <v>165</v>
      </c>
      <c r="E19" s="23"/>
      <c r="F19" s="24">
        <v>1</v>
      </c>
      <c r="G19" s="2" t="s">
        <v>34</v>
      </c>
      <c r="H19" s="11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x14ac:dyDescent="0.25" r="20" customHeight="1" ht="18">
      <c r="A20" s="2"/>
      <c r="B20" s="20"/>
      <c r="C20" s="32" t="s">
        <v>38</v>
      </c>
      <c r="D20" s="22">
        <v>170</v>
      </c>
      <c r="E20" s="23"/>
      <c r="F20" s="24">
        <v>1</v>
      </c>
      <c r="G20" s="2" t="s">
        <v>22</v>
      </c>
      <c r="H20" s="19">
        <v>8</v>
      </c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x14ac:dyDescent="0.25" r="21" customHeight="1" ht="18">
      <c r="A21" s="2"/>
      <c r="B21" s="20"/>
      <c r="C21" s="32" t="s">
        <v>39</v>
      </c>
      <c r="D21" s="22">
        <v>175</v>
      </c>
      <c r="E21" s="23"/>
      <c r="F21" s="24">
        <v>1</v>
      </c>
      <c r="G21" s="2" t="s">
        <v>22</v>
      </c>
      <c r="H21" s="19">
        <v>9</v>
      </c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x14ac:dyDescent="0.25" r="22" customHeight="1" ht="18">
      <c r="A22" s="2"/>
      <c r="B22" s="20"/>
      <c r="C22" s="32" t="s">
        <v>40</v>
      </c>
      <c r="D22" s="22">
        <v>180</v>
      </c>
      <c r="E22" s="23" t="s">
        <v>41</v>
      </c>
      <c r="F22" s="24">
        <v>1</v>
      </c>
      <c r="G22" s="2" t="s">
        <v>22</v>
      </c>
      <c r="H22" s="11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x14ac:dyDescent="0.25" r="23" customHeight="1" ht="18">
      <c r="A23" s="2"/>
      <c r="B23" s="20"/>
      <c r="C23" s="21" t="s">
        <v>42</v>
      </c>
      <c r="D23" s="22">
        <v>185</v>
      </c>
      <c r="E23" s="23"/>
      <c r="F23" s="24">
        <v>1</v>
      </c>
      <c r="G23" s="2" t="s">
        <v>22</v>
      </c>
      <c r="H23" s="19">
        <v>10</v>
      </c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x14ac:dyDescent="0.25" r="24" customHeight="1" ht="18">
      <c r="A24" s="2"/>
      <c r="B24" s="20"/>
      <c r="C24" s="21" t="s">
        <v>43</v>
      </c>
      <c r="D24" s="22">
        <v>190</v>
      </c>
      <c r="E24" s="23"/>
      <c r="F24" s="24">
        <v>1</v>
      </c>
      <c r="G24" s="2" t="s">
        <v>22</v>
      </c>
      <c r="H24" s="19">
        <v>11</v>
      </c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x14ac:dyDescent="0.25" r="25" customHeight="1" ht="18">
      <c r="A25" s="2"/>
      <c r="B25" s="20"/>
      <c r="C25" s="21" t="s">
        <v>44</v>
      </c>
      <c r="D25" s="22">
        <v>195</v>
      </c>
      <c r="E25" s="23"/>
      <c r="F25" s="24">
        <v>1</v>
      </c>
      <c r="G25" s="2" t="s">
        <v>22</v>
      </c>
      <c r="H25" s="11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x14ac:dyDescent="0.25" r="26" customHeight="1" ht="18">
      <c r="A26" s="2"/>
      <c r="B26" s="20"/>
      <c r="C26" s="21" t="s">
        <v>45</v>
      </c>
      <c r="D26" s="22">
        <v>200</v>
      </c>
      <c r="E26" s="23"/>
      <c r="F26" s="24">
        <v>1</v>
      </c>
      <c r="G26" s="2" t="s">
        <v>46</v>
      </c>
      <c r="H26" s="11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x14ac:dyDescent="0.25" r="27" customHeight="1" ht="18">
      <c r="A27" s="2"/>
      <c r="B27" s="20"/>
      <c r="C27" s="21" t="s">
        <v>47</v>
      </c>
      <c r="D27" s="22">
        <v>205</v>
      </c>
      <c r="E27" s="23"/>
      <c r="F27" s="24">
        <v>1</v>
      </c>
      <c r="G27" s="2" t="s">
        <v>46</v>
      </c>
      <c r="H27" s="11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x14ac:dyDescent="0.25" r="28" customHeight="1" ht="18">
      <c r="A28" s="2"/>
      <c r="B28" s="20"/>
      <c r="C28" s="21" t="s">
        <v>48</v>
      </c>
      <c r="D28" s="22">
        <v>210</v>
      </c>
      <c r="E28" s="23"/>
      <c r="F28" s="24">
        <v>1</v>
      </c>
      <c r="G28" s="2" t="s">
        <v>46</v>
      </c>
      <c r="H28" s="11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x14ac:dyDescent="0.25" r="29" customHeight="1" ht="18">
      <c r="A29" s="2"/>
      <c r="B29" s="20"/>
      <c r="C29" s="21" t="s">
        <v>49</v>
      </c>
      <c r="D29" s="22">
        <v>215</v>
      </c>
      <c r="E29" s="23"/>
      <c r="F29" s="24">
        <v>1</v>
      </c>
      <c r="G29" s="2" t="s">
        <v>22</v>
      </c>
      <c r="H29" s="11"/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x14ac:dyDescent="0.25" r="30" customHeight="1" ht="18">
      <c r="A30" s="2"/>
      <c r="B30" s="20"/>
      <c r="C30" s="21" t="s">
        <v>50</v>
      </c>
      <c r="D30" s="22">
        <v>220</v>
      </c>
      <c r="E30" s="23"/>
      <c r="F30" s="24">
        <v>1</v>
      </c>
      <c r="G30" s="2" t="s">
        <v>22</v>
      </c>
      <c r="H30" s="11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x14ac:dyDescent="0.25" r="31" customHeight="1" ht="18">
      <c r="A31" s="2"/>
      <c r="B31" s="20"/>
      <c r="C31" s="21" t="s">
        <v>51</v>
      </c>
      <c r="D31" s="22">
        <v>225</v>
      </c>
      <c r="E31" s="23"/>
      <c r="F31" s="24">
        <v>1</v>
      </c>
      <c r="G31" s="2" t="s">
        <v>22</v>
      </c>
      <c r="H31" s="11"/>
      <c r="I31" s="2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x14ac:dyDescent="0.25" r="32" customHeight="1" ht="18">
      <c r="A32" s="2"/>
      <c r="B32" s="20"/>
      <c r="C32" s="33" t="s">
        <v>52</v>
      </c>
      <c r="D32" s="22">
        <v>230</v>
      </c>
      <c r="E32" s="23"/>
      <c r="F32" s="24">
        <v>1</v>
      </c>
      <c r="G32" s="2" t="s">
        <v>22</v>
      </c>
      <c r="H32" s="19">
        <v>12</v>
      </c>
      <c r="I32" s="2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x14ac:dyDescent="0.25" r="33" customHeight="1" ht="18">
      <c r="A33" s="2"/>
      <c r="B33" s="20"/>
      <c r="C33" s="21" t="s">
        <v>53</v>
      </c>
      <c r="D33" s="22">
        <v>235</v>
      </c>
      <c r="E33" s="23"/>
      <c r="F33" s="24">
        <v>1</v>
      </c>
      <c r="G33" s="2" t="s">
        <v>22</v>
      </c>
      <c r="H33" s="19">
        <v>23</v>
      </c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x14ac:dyDescent="0.25" r="34" customHeight="1" ht="18">
      <c r="A34" s="2"/>
      <c r="B34" s="20"/>
      <c r="C34" s="21" t="s">
        <v>54</v>
      </c>
      <c r="D34" s="22">
        <v>240</v>
      </c>
      <c r="E34" s="23"/>
      <c r="F34" s="24">
        <v>1</v>
      </c>
      <c r="G34" s="2" t="s">
        <v>22</v>
      </c>
      <c r="H34" s="11"/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x14ac:dyDescent="0.25" r="35" customHeight="1" ht="18">
      <c r="A35" s="2"/>
      <c r="B35" s="20"/>
      <c r="C35" s="21" t="s">
        <v>55</v>
      </c>
      <c r="D35" s="22">
        <v>245</v>
      </c>
      <c r="E35" s="23"/>
      <c r="F35" s="24">
        <v>1</v>
      </c>
      <c r="G35" s="2" t="s">
        <v>22</v>
      </c>
      <c r="H35" s="19">
        <v>13</v>
      </c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x14ac:dyDescent="0.25" r="36" customHeight="1" ht="18">
      <c r="A36" s="2"/>
      <c r="B36" s="20"/>
      <c r="C36" s="21" t="s">
        <v>56</v>
      </c>
      <c r="D36" s="22">
        <v>250</v>
      </c>
      <c r="E36" s="23"/>
      <c r="F36" s="24">
        <v>1</v>
      </c>
      <c r="G36" s="2" t="s">
        <v>22</v>
      </c>
      <c r="H36" s="19">
        <v>14</v>
      </c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x14ac:dyDescent="0.25" r="37" customHeight="1" ht="18">
      <c r="A37" s="2"/>
      <c r="B37" s="20"/>
      <c r="C37" s="21" t="s">
        <v>57</v>
      </c>
      <c r="D37" s="22">
        <v>255</v>
      </c>
      <c r="E37" s="23"/>
      <c r="F37" s="24">
        <v>1</v>
      </c>
      <c r="G37" s="2" t="s">
        <v>22</v>
      </c>
      <c r="H37" s="11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x14ac:dyDescent="0.25" r="38" customHeight="1" ht="18">
      <c r="A38" s="2"/>
      <c r="B38" s="20"/>
      <c r="C38" s="21" t="s">
        <v>58</v>
      </c>
      <c r="D38" s="22">
        <v>260</v>
      </c>
      <c r="E38" s="23"/>
      <c r="F38" s="24">
        <v>1</v>
      </c>
      <c r="G38" s="2" t="s">
        <v>22</v>
      </c>
      <c r="H38" s="19">
        <v>15</v>
      </c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x14ac:dyDescent="0.25" r="39" customHeight="1" ht="18">
      <c r="A39" s="2"/>
      <c r="B39" s="20"/>
      <c r="C39" s="21" t="s">
        <v>59</v>
      </c>
      <c r="D39" s="22">
        <v>265</v>
      </c>
      <c r="E39" s="23"/>
      <c r="F39" s="24">
        <v>1</v>
      </c>
      <c r="G39" s="2" t="s">
        <v>22</v>
      </c>
      <c r="H39" s="19">
        <v>16</v>
      </c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x14ac:dyDescent="0.25" r="40" customHeight="1" ht="18">
      <c r="A40" s="2"/>
      <c r="B40" s="20"/>
      <c r="C40" s="21" t="s">
        <v>60</v>
      </c>
      <c r="D40" s="22">
        <v>270</v>
      </c>
      <c r="E40" s="23"/>
      <c r="F40" s="24">
        <v>1</v>
      </c>
      <c r="G40" s="2" t="s">
        <v>22</v>
      </c>
      <c r="H40" s="11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x14ac:dyDescent="0.25" r="41" customHeight="1" ht="18">
      <c r="A41" s="2"/>
      <c r="B41" s="20"/>
      <c r="C41" s="21" t="s">
        <v>61</v>
      </c>
      <c r="D41" s="22">
        <v>275</v>
      </c>
      <c r="E41" s="23"/>
      <c r="F41" s="24">
        <v>1</v>
      </c>
      <c r="G41" s="2" t="s">
        <v>22</v>
      </c>
      <c r="H41" s="19">
        <v>17</v>
      </c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x14ac:dyDescent="0.25" r="42" customHeight="1" ht="18">
      <c r="A42" s="2"/>
      <c r="B42" s="20"/>
      <c r="C42" s="21" t="s">
        <v>62</v>
      </c>
      <c r="D42" s="22">
        <v>280</v>
      </c>
      <c r="E42" s="23"/>
      <c r="F42" s="24">
        <v>1</v>
      </c>
      <c r="G42" s="2" t="s">
        <v>22</v>
      </c>
      <c r="H42" s="19">
        <v>18</v>
      </c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x14ac:dyDescent="0.25" r="43" customHeight="1" ht="18">
      <c r="A43" s="2"/>
      <c r="B43" s="20"/>
      <c r="C43" s="21" t="s">
        <v>63</v>
      </c>
      <c r="D43" s="22">
        <v>285</v>
      </c>
      <c r="E43" s="23"/>
      <c r="F43" s="24">
        <v>1</v>
      </c>
      <c r="G43" s="2" t="s">
        <v>22</v>
      </c>
      <c r="H43" s="19">
        <v>19</v>
      </c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x14ac:dyDescent="0.25" r="44" customHeight="1" ht="18">
      <c r="A44" s="2"/>
      <c r="B44" s="20"/>
      <c r="C44" s="21" t="s">
        <v>64</v>
      </c>
      <c r="D44" s="22">
        <v>290</v>
      </c>
      <c r="E44" s="23"/>
      <c r="F44" s="24">
        <v>1</v>
      </c>
      <c r="G44" s="2" t="s">
        <v>22</v>
      </c>
      <c r="H44" s="19">
        <v>20</v>
      </c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x14ac:dyDescent="0.25" r="45" customHeight="1" ht="18">
      <c r="A45" s="2"/>
      <c r="B45" s="20"/>
      <c r="C45" s="21" t="s">
        <v>65</v>
      </c>
      <c r="D45" s="22">
        <v>295</v>
      </c>
      <c r="E45" s="23"/>
      <c r="F45" s="24">
        <v>1</v>
      </c>
      <c r="G45" s="2" t="s">
        <v>22</v>
      </c>
      <c r="H45" s="11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x14ac:dyDescent="0.25" r="46" customHeight="1" ht="18">
      <c r="A46" s="2"/>
      <c r="B46" s="20"/>
      <c r="C46" s="21" t="s">
        <v>66</v>
      </c>
      <c r="D46" s="22">
        <v>300</v>
      </c>
      <c r="E46" s="23"/>
      <c r="F46" s="24">
        <v>1</v>
      </c>
      <c r="G46" s="2" t="s">
        <v>22</v>
      </c>
      <c r="H46" s="19">
        <v>21</v>
      </c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x14ac:dyDescent="0.25" r="47" customHeight="1" ht="18">
      <c r="A47" s="2"/>
      <c r="B47" s="20"/>
      <c r="C47" s="21" t="s">
        <v>67</v>
      </c>
      <c r="D47" s="22">
        <v>305</v>
      </c>
      <c r="E47" s="23"/>
      <c r="F47" s="24">
        <v>1</v>
      </c>
      <c r="G47" s="2" t="s">
        <v>22</v>
      </c>
      <c r="H47" s="19">
        <v>22</v>
      </c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x14ac:dyDescent="0.25" r="48" customHeight="1" ht="18">
      <c r="A48" s="2"/>
      <c r="B48" s="20"/>
      <c r="C48" s="21" t="s">
        <v>68</v>
      </c>
      <c r="D48" s="22">
        <v>310</v>
      </c>
      <c r="E48" s="23"/>
      <c r="F48" s="24">
        <v>1</v>
      </c>
      <c r="G48" s="2" t="s">
        <v>22</v>
      </c>
      <c r="H48" s="11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x14ac:dyDescent="0.25" r="49" customHeight="1" ht="18">
      <c r="A49" s="2"/>
      <c r="B49" s="20"/>
      <c r="C49" s="21" t="s">
        <v>69</v>
      </c>
      <c r="D49" s="22">
        <v>315</v>
      </c>
      <c r="E49" s="23"/>
      <c r="F49" s="24">
        <v>1</v>
      </c>
      <c r="G49" s="2" t="s">
        <v>70</v>
      </c>
      <c r="H49" s="11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x14ac:dyDescent="0.25" r="50" customHeight="1" ht="18">
      <c r="A50" s="2"/>
      <c r="B50" s="20"/>
      <c r="C50" s="21" t="s">
        <v>71</v>
      </c>
      <c r="D50" s="22">
        <v>320</v>
      </c>
      <c r="E50" s="23"/>
      <c r="F50" s="24">
        <v>1</v>
      </c>
      <c r="G50" s="2" t="s">
        <v>70</v>
      </c>
      <c r="H50" s="11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x14ac:dyDescent="0.25" r="51" customHeight="1" ht="18">
      <c r="A51" s="2"/>
      <c r="B51" s="20"/>
      <c r="C51" s="25" t="s">
        <v>72</v>
      </c>
      <c r="D51" s="26">
        <v>325</v>
      </c>
      <c r="E51" s="27"/>
      <c r="F51" s="28">
        <v>1</v>
      </c>
      <c r="G51" s="2" t="s">
        <v>70</v>
      </c>
      <c r="H51" s="11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x14ac:dyDescent="0.25" r="52" customHeight="1" ht="18">
      <c r="A52" s="2"/>
      <c r="B52" s="34" t="s">
        <v>73</v>
      </c>
      <c r="C52" s="21" t="s">
        <v>74</v>
      </c>
      <c r="D52" s="10">
        <v>501</v>
      </c>
      <c r="E52" s="22"/>
      <c r="F52" s="24">
        <v>1</v>
      </c>
      <c r="G52" s="2" t="s">
        <v>22</v>
      </c>
      <c r="H52" s="11" t="s">
        <v>75</v>
      </c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x14ac:dyDescent="0.25" r="53" customHeight="1" ht="18">
      <c r="A53" s="2"/>
      <c r="B53" s="35"/>
      <c r="C53" s="21" t="s">
        <v>76</v>
      </c>
      <c r="D53" s="10">
        <v>502</v>
      </c>
      <c r="E53" s="22"/>
      <c r="F53" s="24">
        <v>1</v>
      </c>
      <c r="G53" s="2" t="s">
        <v>22</v>
      </c>
      <c r="H53" s="11" t="s">
        <v>75</v>
      </c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x14ac:dyDescent="0.25" r="54" customHeight="1" ht="18">
      <c r="A54" s="2"/>
      <c r="B54" s="35"/>
      <c r="C54" s="21" t="s">
        <v>77</v>
      </c>
      <c r="D54" s="10">
        <v>503</v>
      </c>
      <c r="E54" s="22"/>
      <c r="F54" s="24">
        <v>1</v>
      </c>
      <c r="G54" s="2" t="s">
        <v>22</v>
      </c>
      <c r="H54" s="11" t="s">
        <v>75</v>
      </c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x14ac:dyDescent="0.25" r="55" customHeight="1" ht="18">
      <c r="A55" s="2"/>
      <c r="B55" s="35"/>
      <c r="C55" s="21" t="s">
        <v>78</v>
      </c>
      <c r="D55" s="10">
        <v>504</v>
      </c>
      <c r="E55" s="22"/>
      <c r="F55" s="24">
        <v>1</v>
      </c>
      <c r="G55" s="2" t="s">
        <v>22</v>
      </c>
      <c r="H55" s="11" t="s">
        <v>75</v>
      </c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x14ac:dyDescent="0.25" r="56" customHeight="1" ht="18">
      <c r="A56" s="2"/>
      <c r="B56" s="35"/>
      <c r="C56" s="21" t="s">
        <v>79</v>
      </c>
      <c r="D56" s="10">
        <v>505</v>
      </c>
      <c r="E56" s="22"/>
      <c r="F56" s="24">
        <v>1</v>
      </c>
      <c r="G56" s="2" t="s">
        <v>22</v>
      </c>
      <c r="H56" s="11" t="s">
        <v>75</v>
      </c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x14ac:dyDescent="0.25" r="57" customHeight="1" ht="18">
      <c r="A57" s="2"/>
      <c r="B57" s="35"/>
      <c r="C57" s="21" t="s">
        <v>80</v>
      </c>
      <c r="D57" s="10">
        <v>506</v>
      </c>
      <c r="E57" s="22"/>
      <c r="F57" s="24">
        <v>1</v>
      </c>
      <c r="G57" s="2" t="s">
        <v>22</v>
      </c>
      <c r="H57" s="11" t="s">
        <v>75</v>
      </c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x14ac:dyDescent="0.25" r="58" customHeight="1" ht="18">
      <c r="A58" s="2"/>
      <c r="B58" s="35"/>
      <c r="C58" s="21" t="s">
        <v>81</v>
      </c>
      <c r="D58" s="10">
        <v>507</v>
      </c>
      <c r="E58" s="22"/>
      <c r="F58" s="24">
        <v>1</v>
      </c>
      <c r="G58" s="2" t="s">
        <v>22</v>
      </c>
      <c r="H58" s="11" t="s">
        <v>75</v>
      </c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x14ac:dyDescent="0.25" r="59" customHeight="1" ht="18">
      <c r="A59" s="2"/>
      <c r="B59" s="35"/>
      <c r="C59" s="21" t="s">
        <v>82</v>
      </c>
      <c r="D59" s="10">
        <v>508</v>
      </c>
      <c r="E59" s="22"/>
      <c r="F59" s="24">
        <v>1</v>
      </c>
      <c r="G59" s="2" t="s">
        <v>22</v>
      </c>
      <c r="H59" s="11" t="s">
        <v>75</v>
      </c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x14ac:dyDescent="0.25" r="60" customHeight="1" ht="18">
      <c r="A60" s="2"/>
      <c r="B60" s="35"/>
      <c r="C60" s="21" t="s">
        <v>83</v>
      </c>
      <c r="D60" s="10">
        <v>509</v>
      </c>
      <c r="E60" s="22"/>
      <c r="F60" s="24">
        <v>1</v>
      </c>
      <c r="G60" s="2" t="s">
        <v>22</v>
      </c>
      <c r="H60" s="11" t="s">
        <v>75</v>
      </c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x14ac:dyDescent="0.25" r="61" customHeight="1" ht="18">
      <c r="A61" s="2"/>
      <c r="B61" s="35"/>
      <c r="C61" s="21" t="s">
        <v>84</v>
      </c>
      <c r="D61" s="10">
        <v>510</v>
      </c>
      <c r="E61" s="22"/>
      <c r="F61" s="24">
        <v>1</v>
      </c>
      <c r="G61" s="2" t="s">
        <v>22</v>
      </c>
      <c r="H61" s="11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x14ac:dyDescent="0.25" r="62" customHeight="1" ht="18">
      <c r="A62" s="2"/>
      <c r="B62" s="35"/>
      <c r="C62" s="21" t="s">
        <v>85</v>
      </c>
      <c r="D62" s="10">
        <v>511</v>
      </c>
      <c r="E62" s="22"/>
      <c r="F62" s="24">
        <v>1</v>
      </c>
      <c r="G62" s="2" t="s">
        <v>22</v>
      </c>
      <c r="H62" s="11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x14ac:dyDescent="0.25" r="63" customHeight="1" ht="18">
      <c r="A63" s="2"/>
      <c r="B63" s="35"/>
      <c r="C63" s="21" t="s">
        <v>86</v>
      </c>
      <c r="D63" s="10">
        <v>512</v>
      </c>
      <c r="E63" s="22"/>
      <c r="F63" s="24">
        <v>1</v>
      </c>
      <c r="G63" s="2" t="s">
        <v>22</v>
      </c>
      <c r="H63" s="11" t="s">
        <v>75</v>
      </c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x14ac:dyDescent="0.25" r="64" customHeight="1" ht="18">
      <c r="A64" s="2"/>
      <c r="B64" s="35"/>
      <c r="C64" s="21" t="s">
        <v>87</v>
      </c>
      <c r="D64" s="10">
        <v>513</v>
      </c>
      <c r="E64" s="22"/>
      <c r="F64" s="24">
        <v>1</v>
      </c>
      <c r="G64" s="2" t="s">
        <v>22</v>
      </c>
      <c r="H64" s="11" t="s">
        <v>75</v>
      </c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x14ac:dyDescent="0.25" r="65" customHeight="1" ht="18">
      <c r="A65" s="2"/>
      <c r="B65" s="35"/>
      <c r="C65" s="21" t="s">
        <v>88</v>
      </c>
      <c r="D65" s="10">
        <v>514</v>
      </c>
      <c r="E65" s="22"/>
      <c r="F65" s="24">
        <v>1</v>
      </c>
      <c r="G65" s="2" t="s">
        <v>22</v>
      </c>
      <c r="H65" s="11" t="s">
        <v>75</v>
      </c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x14ac:dyDescent="0.25" r="66" customHeight="1" ht="18">
      <c r="A66" s="2"/>
      <c r="B66" s="35"/>
      <c r="C66" s="21" t="s">
        <v>89</v>
      </c>
      <c r="D66" s="10">
        <v>515</v>
      </c>
      <c r="E66" s="36"/>
      <c r="F66" s="24">
        <v>1</v>
      </c>
      <c r="G66" s="2" t="s">
        <v>22</v>
      </c>
      <c r="H66" s="11" t="s">
        <v>75</v>
      </c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x14ac:dyDescent="0.25" r="67" customHeight="1" ht="18">
      <c r="A67" s="2"/>
      <c r="B67" s="35"/>
      <c r="C67" s="21" t="s">
        <v>90</v>
      </c>
      <c r="D67" s="10">
        <v>516</v>
      </c>
      <c r="E67" s="22"/>
      <c r="F67" s="24">
        <v>1</v>
      </c>
      <c r="G67" s="2" t="s">
        <v>22</v>
      </c>
      <c r="H67" s="11" t="s">
        <v>75</v>
      </c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x14ac:dyDescent="0.25" r="68" customHeight="1" ht="18">
      <c r="A68" s="2"/>
      <c r="B68" s="35"/>
      <c r="C68" s="21" t="s">
        <v>91</v>
      </c>
      <c r="D68" s="10">
        <v>517</v>
      </c>
      <c r="E68" s="36"/>
      <c r="F68" s="24">
        <v>1</v>
      </c>
      <c r="G68" s="2" t="s">
        <v>22</v>
      </c>
      <c r="H68" s="11" t="s">
        <v>75</v>
      </c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x14ac:dyDescent="0.25" r="69" customHeight="1" ht="18">
      <c r="A69" s="2"/>
      <c r="B69" s="35"/>
      <c r="C69" s="21" t="s">
        <v>92</v>
      </c>
      <c r="D69" s="10">
        <v>518</v>
      </c>
      <c r="E69" s="36"/>
      <c r="F69" s="24"/>
      <c r="G69" s="2" t="s">
        <v>22</v>
      </c>
      <c r="H69" s="11" t="s">
        <v>75</v>
      </c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x14ac:dyDescent="0.25" r="70" customHeight="1" ht="18">
      <c r="A70" s="2"/>
      <c r="B70" s="35"/>
      <c r="C70" s="21" t="s">
        <v>93</v>
      </c>
      <c r="D70" s="10">
        <v>519</v>
      </c>
      <c r="E70" s="36"/>
      <c r="F70" s="24"/>
      <c r="G70" s="2" t="s">
        <v>22</v>
      </c>
      <c r="H70" s="11" t="s">
        <v>75</v>
      </c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x14ac:dyDescent="0.25" r="71" customHeight="1" ht="18">
      <c r="A71" s="2"/>
      <c r="B71" s="35"/>
      <c r="C71" s="21" t="s">
        <v>94</v>
      </c>
      <c r="D71" s="10">
        <v>520</v>
      </c>
      <c r="E71" s="36"/>
      <c r="F71" s="24"/>
      <c r="G71" s="2" t="s">
        <v>22</v>
      </c>
      <c r="H71" s="11" t="s">
        <v>75</v>
      </c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x14ac:dyDescent="0.25" r="72" customHeight="1" ht="18">
      <c r="A72" s="2"/>
      <c r="B72" s="35"/>
      <c r="C72" s="21" t="s">
        <v>95</v>
      </c>
      <c r="D72" s="10">
        <v>521</v>
      </c>
      <c r="E72" s="36"/>
      <c r="F72" s="24"/>
      <c r="G72" s="2" t="s">
        <v>22</v>
      </c>
      <c r="H72" s="11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x14ac:dyDescent="0.25" r="73" customHeight="1" ht="18">
      <c r="A73" s="2"/>
      <c r="B73" s="35"/>
      <c r="C73" s="21" t="s">
        <v>96</v>
      </c>
      <c r="D73" s="10">
        <v>522</v>
      </c>
      <c r="E73" s="36"/>
      <c r="F73" s="24"/>
      <c r="G73" s="2" t="s">
        <v>22</v>
      </c>
      <c r="H73" s="11" t="s">
        <v>75</v>
      </c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x14ac:dyDescent="0.25" r="74" customHeight="1" ht="18">
      <c r="A74" s="2"/>
      <c r="B74" s="35"/>
      <c r="C74" s="25" t="s">
        <v>97</v>
      </c>
      <c r="D74" s="37">
        <v>523</v>
      </c>
      <c r="E74" s="38" t="s">
        <v>98</v>
      </c>
      <c r="F74" s="28"/>
      <c r="G74" s="2" t="s">
        <v>22</v>
      </c>
      <c r="H74" s="11" t="s">
        <v>75</v>
      </c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x14ac:dyDescent="0.25" r="75" customHeight="1" ht="18">
      <c r="A75" s="2"/>
      <c r="B75" s="35"/>
      <c r="C75" s="25" t="s">
        <v>99</v>
      </c>
      <c r="D75" s="37">
        <v>524</v>
      </c>
      <c r="E75" s="36"/>
      <c r="F75" s="24"/>
      <c r="G75" s="2" t="s">
        <v>22</v>
      </c>
      <c r="H75" s="11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x14ac:dyDescent="0.25" r="76" customHeight="1" ht="18">
      <c r="A76" s="2"/>
      <c r="B76" s="39" t="s">
        <v>100</v>
      </c>
      <c r="C76" s="40" t="s">
        <v>101</v>
      </c>
      <c r="D76" s="41">
        <v>10001</v>
      </c>
      <c r="E76" s="42"/>
      <c r="F76" s="11"/>
      <c r="G76" s="2"/>
      <c r="H76" s="11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x14ac:dyDescent="0.25" r="77" customHeight="1" ht="18">
      <c r="A77" s="2"/>
      <c r="B77" s="35"/>
      <c r="C77" s="40" t="s">
        <v>102</v>
      </c>
      <c r="D77" s="41">
        <v>10002</v>
      </c>
      <c r="E77" s="43"/>
      <c r="F77" s="11"/>
      <c r="G77" s="2"/>
      <c r="H77" s="11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x14ac:dyDescent="0.25" r="78" customHeight="1" ht="18">
      <c r="A78" s="2"/>
      <c r="B78" s="35"/>
      <c r="C78" s="40" t="s">
        <v>103</v>
      </c>
      <c r="D78" s="41">
        <v>10003</v>
      </c>
      <c r="E78" s="43"/>
      <c r="F78" s="11"/>
      <c r="G78" s="2"/>
      <c r="H78" s="11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x14ac:dyDescent="0.25" r="79" customHeight="1" ht="18">
      <c r="A79" s="2"/>
      <c r="B79" s="35"/>
      <c r="C79" s="40" t="s">
        <v>104</v>
      </c>
      <c r="D79" s="41">
        <v>10004</v>
      </c>
      <c r="E79" s="43"/>
      <c r="F79" s="11"/>
      <c r="G79" s="2"/>
      <c r="H79" s="11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x14ac:dyDescent="0.25" r="80" customHeight="1" ht="18">
      <c r="A80" s="2"/>
      <c r="B80" s="35"/>
      <c r="C80" s="40" t="s">
        <v>105</v>
      </c>
      <c r="D80" s="41">
        <v>10005</v>
      </c>
      <c r="E80" s="43"/>
      <c r="F80" s="11"/>
      <c r="G80" s="2"/>
      <c r="H80" s="11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x14ac:dyDescent="0.25" r="81" customHeight="1" ht="18">
      <c r="A81" s="2"/>
      <c r="B81" s="35"/>
      <c r="C81" s="40" t="s">
        <v>106</v>
      </c>
      <c r="D81" s="41">
        <v>10006</v>
      </c>
      <c r="E81" s="43"/>
      <c r="F81" s="11"/>
      <c r="G81" s="2"/>
      <c r="H81" s="11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x14ac:dyDescent="0.25" r="82" customHeight="1" ht="18">
      <c r="A82" s="2"/>
      <c r="B82" s="35"/>
      <c r="C82" s="40" t="s">
        <v>107</v>
      </c>
      <c r="D82" s="41">
        <v>10007</v>
      </c>
      <c r="E82" s="43"/>
      <c r="F82" s="11"/>
      <c r="G82" s="2"/>
      <c r="H82" s="11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x14ac:dyDescent="0.25" r="83" customHeight="1" ht="18">
      <c r="A83" s="2"/>
      <c r="B83" s="35"/>
      <c r="C83" s="40" t="s">
        <v>108</v>
      </c>
      <c r="D83" s="41">
        <v>10008</v>
      </c>
      <c r="E83" s="43"/>
      <c r="F83" s="11"/>
      <c r="G83" s="2"/>
      <c r="H83" s="11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x14ac:dyDescent="0.25" r="84" customHeight="1" ht="18">
      <c r="A84" s="2"/>
      <c r="B84" s="35"/>
      <c r="C84" s="40" t="s">
        <v>109</v>
      </c>
      <c r="D84" s="41">
        <v>10009</v>
      </c>
      <c r="E84" s="43"/>
      <c r="F84" s="11"/>
      <c r="G84" s="2"/>
      <c r="H84" s="11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x14ac:dyDescent="0.25" r="85" customHeight="1" ht="18">
      <c r="A85" s="2"/>
      <c r="B85" s="35"/>
      <c r="C85" s="40" t="s">
        <v>110</v>
      </c>
      <c r="D85" s="41">
        <v>10010</v>
      </c>
      <c r="E85" s="43"/>
      <c r="F85" s="11" t="s">
        <v>111</v>
      </c>
      <c r="G85" s="2"/>
      <c r="H85" s="11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x14ac:dyDescent="0.25" r="86" customHeight="1" ht="18">
      <c r="A86" s="2"/>
      <c r="B86" s="35"/>
      <c r="C86" s="40" t="s">
        <v>112</v>
      </c>
      <c r="D86" s="41">
        <v>10011</v>
      </c>
      <c r="E86" s="43"/>
      <c r="F86" s="11"/>
      <c r="G86" s="2"/>
      <c r="H86" s="11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x14ac:dyDescent="0.25" r="87" customHeight="1" ht="18">
      <c r="A87" s="2"/>
      <c r="B87" s="35"/>
      <c r="C87" s="40" t="s">
        <v>113</v>
      </c>
      <c r="D87" s="41">
        <v>10012</v>
      </c>
      <c r="E87" s="43"/>
      <c r="F87" s="11"/>
      <c r="G87" s="2"/>
      <c r="H87" s="11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x14ac:dyDescent="0.25" r="88" customHeight="1" ht="18">
      <c r="A88" s="2"/>
      <c r="B88" s="35"/>
      <c r="C88" s="40" t="s">
        <v>114</v>
      </c>
      <c r="D88" s="41">
        <v>10013</v>
      </c>
      <c r="E88" s="43"/>
      <c r="F88" s="11" t="s">
        <v>115</v>
      </c>
      <c r="G88" s="2"/>
      <c r="H88" s="11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x14ac:dyDescent="0.25" r="89" customHeight="1" ht="18">
      <c r="A89" s="2"/>
      <c r="B89" s="35"/>
      <c r="C89" s="40" t="s">
        <v>116</v>
      </c>
      <c r="D89" s="41">
        <v>10014</v>
      </c>
      <c r="E89" s="43"/>
      <c r="F89" s="11"/>
      <c r="G89" s="2"/>
      <c r="H89" s="11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x14ac:dyDescent="0.25" r="90" customHeight="1" ht="18">
      <c r="A90" s="2"/>
      <c r="B90" s="35"/>
      <c r="C90" s="40" t="s">
        <v>117</v>
      </c>
      <c r="D90" s="41">
        <v>10015</v>
      </c>
      <c r="E90" s="43"/>
      <c r="F90" s="11"/>
      <c r="G90" s="2"/>
      <c r="H90" s="11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x14ac:dyDescent="0.25" r="91" customHeight="1" ht="18">
      <c r="A91" s="2"/>
      <c r="B91" s="35"/>
      <c r="C91" s="40" t="s">
        <v>118</v>
      </c>
      <c r="D91" s="41">
        <v>10016</v>
      </c>
      <c r="E91" s="43"/>
      <c r="F91" s="11" t="s">
        <v>119</v>
      </c>
      <c r="G91" s="2"/>
      <c r="H91" s="11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x14ac:dyDescent="0.25" r="92" customHeight="1" ht="18">
      <c r="A92" s="2"/>
      <c r="B92" s="35"/>
      <c r="C92" s="40" t="s">
        <v>120</v>
      </c>
      <c r="D92" s="41">
        <v>10017</v>
      </c>
      <c r="E92" s="43"/>
      <c r="F92" s="11"/>
      <c r="G92" s="2"/>
      <c r="H92" s="11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x14ac:dyDescent="0.25" r="93" customHeight="1" ht="18">
      <c r="A93" s="2"/>
      <c r="B93" s="35"/>
      <c r="C93" s="40" t="s">
        <v>121</v>
      </c>
      <c r="D93" s="41">
        <v>10018</v>
      </c>
      <c r="E93" s="43"/>
      <c r="F93" s="11"/>
      <c r="G93" s="2"/>
      <c r="H93" s="11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x14ac:dyDescent="0.25" r="94" customHeight="1" ht="18">
      <c r="A94" s="2"/>
      <c r="B94" s="35"/>
      <c r="C94" s="40" t="s">
        <v>122</v>
      </c>
      <c r="D94" s="41">
        <v>10019</v>
      </c>
      <c r="E94" s="43"/>
      <c r="F94" s="11" t="s">
        <v>123</v>
      </c>
      <c r="G94" s="2"/>
      <c r="H94" s="11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x14ac:dyDescent="0.25" r="95" customHeight="1" ht="18">
      <c r="A95" s="2"/>
      <c r="B95" s="35"/>
      <c r="C95" s="40" t="s">
        <v>124</v>
      </c>
      <c r="D95" s="41">
        <v>10020</v>
      </c>
      <c r="E95" s="43"/>
      <c r="F95" s="11"/>
      <c r="G95" s="2"/>
      <c r="H95" s="11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x14ac:dyDescent="0.25" r="96" customHeight="1" ht="18">
      <c r="A96" s="2"/>
      <c r="B96" s="35"/>
      <c r="C96" s="40" t="s">
        <v>125</v>
      </c>
      <c r="D96" s="41">
        <v>10021</v>
      </c>
      <c r="E96" s="43"/>
      <c r="F96" s="11"/>
      <c r="G96" s="2"/>
      <c r="H96" s="11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x14ac:dyDescent="0.25" r="97" customHeight="1" ht="18">
      <c r="A97" s="2"/>
      <c r="B97" s="35"/>
      <c r="C97" s="40" t="s">
        <v>126</v>
      </c>
      <c r="D97" s="41">
        <v>10022</v>
      </c>
      <c r="E97" s="43"/>
      <c r="F97" s="11"/>
      <c r="G97" s="2"/>
      <c r="H97" s="11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x14ac:dyDescent="0.25" r="98" customHeight="1" ht="18">
      <c r="A98" s="2"/>
      <c r="B98" s="35"/>
      <c r="C98" s="40" t="s">
        <v>127</v>
      </c>
      <c r="D98" s="41">
        <v>10023</v>
      </c>
      <c r="E98" s="43"/>
      <c r="F98" s="11"/>
      <c r="G98" s="2"/>
      <c r="H98" s="11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x14ac:dyDescent="0.25" r="99" customHeight="1" ht="18">
      <c r="A99" s="2"/>
      <c r="B99" s="35"/>
      <c r="C99" s="40" t="s">
        <v>128</v>
      </c>
      <c r="D99" s="41">
        <v>10024</v>
      </c>
      <c r="E99" s="43"/>
      <c r="F99" s="11"/>
      <c r="G99" s="2"/>
      <c r="H99" s="11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x14ac:dyDescent="0.25" r="100" customHeight="1" ht="18">
      <c r="A100" s="2"/>
      <c r="B100" s="35"/>
      <c r="C100" s="40" t="s">
        <v>129</v>
      </c>
      <c r="D100" s="41">
        <v>10025</v>
      </c>
      <c r="E100" s="43"/>
      <c r="F100" s="11" t="s">
        <v>130</v>
      </c>
      <c r="G100" s="2"/>
      <c r="H100" s="11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x14ac:dyDescent="0.25" r="101" customHeight="1" ht="18">
      <c r="A101" s="2"/>
      <c r="B101" s="35"/>
      <c r="C101" s="40" t="s">
        <v>131</v>
      </c>
      <c r="D101" s="41">
        <v>10026</v>
      </c>
      <c r="E101" s="43"/>
      <c r="F101" s="11"/>
      <c r="G101" s="2"/>
      <c r="H101" s="11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x14ac:dyDescent="0.25" r="102" customHeight="1" ht="18">
      <c r="A102" s="2"/>
      <c r="B102" s="35"/>
      <c r="C102" s="40" t="s">
        <v>132</v>
      </c>
      <c r="D102" s="41">
        <v>10027</v>
      </c>
      <c r="E102" s="43"/>
      <c r="F102" s="11"/>
      <c r="G102" s="2"/>
      <c r="H102" s="11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x14ac:dyDescent="0.25" r="103" customHeight="1" ht="18">
      <c r="A103" s="2"/>
      <c r="B103" s="35"/>
      <c r="C103" s="40" t="s">
        <v>133</v>
      </c>
      <c r="D103" s="41">
        <v>10028</v>
      </c>
      <c r="E103" s="43"/>
      <c r="F103" s="11" t="s">
        <v>134</v>
      </c>
      <c r="G103" s="2"/>
      <c r="H103" s="11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x14ac:dyDescent="0.25" r="104" customHeight="1" ht="18">
      <c r="A104" s="2"/>
      <c r="B104" s="35"/>
      <c r="C104" s="40" t="s">
        <v>135</v>
      </c>
      <c r="D104" s="41">
        <v>10029</v>
      </c>
      <c r="E104" s="41">
        <v>10029</v>
      </c>
      <c r="F104" s="11"/>
      <c r="G104" s="2"/>
      <c r="H104" s="11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x14ac:dyDescent="0.25" r="105" customHeight="1" ht="18">
      <c r="A105" s="2"/>
      <c r="B105" s="35"/>
      <c r="C105" s="40" t="s">
        <v>136</v>
      </c>
      <c r="D105" s="41">
        <v>10030</v>
      </c>
      <c r="E105" s="41">
        <v>10030</v>
      </c>
      <c r="F105" s="11"/>
      <c r="G105" s="2"/>
      <c r="H105" s="11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x14ac:dyDescent="0.25" r="106" customHeight="1" ht="18">
      <c r="A106" s="2"/>
      <c r="B106" s="35"/>
      <c r="C106" s="40" t="s">
        <v>137</v>
      </c>
      <c r="D106" s="41">
        <v>10031</v>
      </c>
      <c r="E106" s="41">
        <v>10031</v>
      </c>
      <c r="F106" s="11" t="s">
        <v>138</v>
      </c>
      <c r="G106" s="2"/>
      <c r="H106" s="11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x14ac:dyDescent="0.25" r="107" customHeight="1" ht="18">
      <c r="A107" s="2"/>
      <c r="B107" s="35"/>
      <c r="C107" s="40" t="s">
        <v>139</v>
      </c>
      <c r="D107" s="41">
        <v>10032</v>
      </c>
      <c r="E107" s="43"/>
      <c r="F107" s="11"/>
      <c r="G107" s="2"/>
      <c r="H107" s="11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x14ac:dyDescent="0.25" r="108" customHeight="1" ht="18">
      <c r="A108" s="2"/>
      <c r="B108" s="35"/>
      <c r="C108" s="40" t="s">
        <v>140</v>
      </c>
      <c r="D108" s="41">
        <v>10033</v>
      </c>
      <c r="E108" s="43"/>
      <c r="F108" s="11"/>
      <c r="G108" s="2"/>
      <c r="H108" s="11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x14ac:dyDescent="0.25" r="109" customHeight="1" ht="18">
      <c r="A109" s="2"/>
      <c r="B109" s="35"/>
      <c r="C109" s="40" t="s">
        <v>141</v>
      </c>
      <c r="D109" s="41">
        <v>10034</v>
      </c>
      <c r="E109" s="43"/>
      <c r="F109" s="11"/>
      <c r="G109" s="2"/>
      <c r="H109" s="11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x14ac:dyDescent="0.25" r="110" customHeight="1" ht="18">
      <c r="A110" s="2"/>
      <c r="B110" s="35"/>
      <c r="C110" s="40" t="s">
        <v>142</v>
      </c>
      <c r="D110" s="41">
        <v>10035</v>
      </c>
      <c r="E110" s="43"/>
      <c r="F110" s="11"/>
      <c r="G110" s="2"/>
      <c r="H110" s="11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x14ac:dyDescent="0.25" r="111" customHeight="1" ht="18">
      <c r="A111" s="2"/>
      <c r="B111" s="35"/>
      <c r="C111" s="40" t="s">
        <v>143</v>
      </c>
      <c r="D111" s="41">
        <v>10036</v>
      </c>
      <c r="E111" s="43"/>
      <c r="F111" s="11"/>
      <c r="G111" s="2"/>
      <c r="H111" s="11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x14ac:dyDescent="0.25" r="112" customHeight="1" ht="18">
      <c r="A112" s="2"/>
      <c r="B112" s="35"/>
      <c r="C112" s="40" t="s">
        <v>144</v>
      </c>
      <c r="D112" s="41">
        <v>10037</v>
      </c>
      <c r="E112" s="43"/>
      <c r="F112" s="11"/>
      <c r="G112" s="2"/>
      <c r="H112" s="11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x14ac:dyDescent="0.25" r="113" customHeight="1" ht="18">
      <c r="A113" s="2"/>
      <c r="B113" s="35"/>
      <c r="C113" s="40" t="s">
        <v>145</v>
      </c>
      <c r="D113" s="41">
        <v>10038</v>
      </c>
      <c r="E113" s="43"/>
      <c r="F113" s="11"/>
      <c r="G113" s="2"/>
      <c r="H113" s="11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x14ac:dyDescent="0.25" r="114" customHeight="1" ht="18">
      <c r="A114" s="2"/>
      <c r="B114" s="35"/>
      <c r="C114" s="40" t="s">
        <v>146</v>
      </c>
      <c r="D114" s="41">
        <v>10039</v>
      </c>
      <c r="E114" s="43"/>
      <c r="F114" s="11"/>
      <c r="G114" s="2"/>
      <c r="H114" s="11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x14ac:dyDescent="0.25" r="115" customHeight="1" ht="18">
      <c r="A115" s="2"/>
      <c r="B115" s="35"/>
      <c r="C115" s="40" t="s">
        <v>147</v>
      </c>
      <c r="D115" s="41">
        <v>10040</v>
      </c>
      <c r="E115" s="43"/>
      <c r="F115" s="11"/>
      <c r="G115" s="2"/>
      <c r="H115" s="11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x14ac:dyDescent="0.25" r="116" customHeight="1" ht="18">
      <c r="A116" s="2"/>
      <c r="B116" s="35"/>
      <c r="C116" s="40" t="s">
        <v>148</v>
      </c>
      <c r="D116" s="41">
        <v>10041</v>
      </c>
      <c r="E116" s="43"/>
      <c r="F116" s="11"/>
      <c r="G116" s="2"/>
      <c r="H116" s="11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x14ac:dyDescent="0.25" r="117" customHeight="1" ht="18">
      <c r="A117" s="2"/>
      <c r="B117" s="35"/>
      <c r="C117" s="40" t="s">
        <v>149</v>
      </c>
      <c r="D117" s="41">
        <v>10042</v>
      </c>
      <c r="E117" s="43"/>
      <c r="F117" s="11"/>
      <c r="G117" s="2"/>
      <c r="H117" s="11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x14ac:dyDescent="0.25" r="118" customHeight="1" ht="18">
      <c r="A118" s="2"/>
      <c r="B118" s="35"/>
      <c r="C118" s="40" t="s">
        <v>150</v>
      </c>
      <c r="D118" s="41">
        <v>10043</v>
      </c>
      <c r="E118" s="43"/>
      <c r="F118" s="11"/>
      <c r="G118" s="2"/>
      <c r="H118" s="11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x14ac:dyDescent="0.25" r="119" customHeight="1" ht="18">
      <c r="A119" s="2"/>
      <c r="B119" s="35"/>
      <c r="C119" s="40" t="s">
        <v>151</v>
      </c>
      <c r="D119" s="41">
        <v>10044</v>
      </c>
      <c r="E119" s="43"/>
      <c r="F119" s="11"/>
      <c r="G119" s="2"/>
      <c r="H119" s="11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x14ac:dyDescent="0.25" r="120" customHeight="1" ht="18">
      <c r="A120" s="2"/>
      <c r="B120" s="35"/>
      <c r="C120" s="40" t="s">
        <v>152</v>
      </c>
      <c r="D120" s="41">
        <v>10045</v>
      </c>
      <c r="E120" s="43"/>
      <c r="F120" s="11"/>
      <c r="G120" s="2"/>
      <c r="H120" s="11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x14ac:dyDescent="0.25" r="121" customHeight="1" ht="18">
      <c r="A121" s="2"/>
      <c r="B121" s="35"/>
      <c r="C121" s="40" t="s">
        <v>153</v>
      </c>
      <c r="D121" s="41">
        <v>10046</v>
      </c>
      <c r="E121" s="43"/>
      <c r="F121" s="11"/>
      <c r="G121" s="2"/>
      <c r="H121" s="11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x14ac:dyDescent="0.25" r="122" customHeight="1" ht="18">
      <c r="A122" s="2"/>
      <c r="B122" s="35"/>
      <c r="C122" s="40" t="s">
        <v>154</v>
      </c>
      <c r="D122" s="41">
        <v>10047</v>
      </c>
      <c r="E122" s="43"/>
      <c r="F122" s="11"/>
      <c r="G122" s="2"/>
      <c r="H122" s="11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x14ac:dyDescent="0.25" r="123" customHeight="1" ht="18">
      <c r="A123" s="2"/>
      <c r="B123" s="35"/>
      <c r="C123" s="40" t="s">
        <v>155</v>
      </c>
      <c r="D123" s="41">
        <v>10048</v>
      </c>
      <c r="E123" s="43"/>
      <c r="F123" s="11"/>
      <c r="G123" s="2"/>
      <c r="H123" s="11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x14ac:dyDescent="0.25" r="124" customHeight="1" ht="18">
      <c r="A124" s="2"/>
      <c r="B124" s="39" t="s">
        <v>156</v>
      </c>
      <c r="C124" s="44" t="s">
        <v>157</v>
      </c>
      <c r="D124" s="45">
        <v>101001</v>
      </c>
      <c r="E124" s="11"/>
      <c r="F124" s="11"/>
      <c r="G124" s="2"/>
      <c r="H124" s="11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x14ac:dyDescent="0.25" r="125" customHeight="1" ht="18">
      <c r="A125" s="2"/>
      <c r="B125" s="35"/>
      <c r="C125" s="44" t="s">
        <v>158</v>
      </c>
      <c r="D125" s="45">
        <v>101002</v>
      </c>
      <c r="E125" s="11"/>
      <c r="F125" s="11"/>
      <c r="G125" s="2"/>
      <c r="H125" s="11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x14ac:dyDescent="0.25" r="126" customHeight="1" ht="18">
      <c r="A126" s="2"/>
      <c r="B126" s="35"/>
      <c r="C126" s="44" t="s">
        <v>159</v>
      </c>
      <c r="D126" s="45">
        <v>101003</v>
      </c>
      <c r="E126" s="11"/>
      <c r="F126" s="11"/>
      <c r="G126" s="2"/>
      <c r="H126" s="11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x14ac:dyDescent="0.25" r="127" customHeight="1" ht="18">
      <c r="A127" s="2"/>
      <c r="B127" s="35"/>
      <c r="C127" s="44" t="s">
        <v>160</v>
      </c>
      <c r="D127" s="45">
        <v>101004</v>
      </c>
      <c r="E127" s="11"/>
      <c r="F127" s="11"/>
      <c r="G127" s="2"/>
      <c r="H127" s="11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x14ac:dyDescent="0.25" r="128" customHeight="1" ht="18">
      <c r="A128" s="2"/>
      <c r="B128" s="35"/>
      <c r="C128" s="44" t="s">
        <v>161</v>
      </c>
      <c r="D128" s="45">
        <v>101005</v>
      </c>
      <c r="E128" s="11"/>
      <c r="F128" s="11"/>
      <c r="G128" s="2"/>
      <c r="H128" s="11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x14ac:dyDescent="0.25" r="129" customHeight="1" ht="18">
      <c r="A129" s="2"/>
      <c r="B129" s="35"/>
      <c r="C129" s="44" t="s">
        <v>162</v>
      </c>
      <c r="D129" s="45">
        <v>101006</v>
      </c>
      <c r="E129" s="11"/>
      <c r="F129" s="11"/>
      <c r="G129" s="2"/>
      <c r="H129" s="11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x14ac:dyDescent="0.25" r="130" customHeight="1" ht="18">
      <c r="A130" s="2"/>
      <c r="B130" s="35"/>
      <c r="C130" s="44" t="s">
        <v>163</v>
      </c>
      <c r="D130" s="45">
        <v>101007</v>
      </c>
      <c r="E130" s="11"/>
      <c r="F130" s="11"/>
      <c r="G130" s="2"/>
      <c r="H130" s="11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x14ac:dyDescent="0.25" r="131" customHeight="1" ht="18">
      <c r="A131" s="2"/>
      <c r="B131" s="35"/>
      <c r="C131" s="44" t="s">
        <v>164</v>
      </c>
      <c r="D131" s="45">
        <v>101008</v>
      </c>
      <c r="E131" s="11"/>
      <c r="F131" s="11"/>
      <c r="G131" s="2"/>
      <c r="H131" s="11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x14ac:dyDescent="0.25" r="132" customHeight="1" ht="18">
      <c r="A132" s="2"/>
      <c r="B132" s="35"/>
      <c r="C132" s="44" t="s">
        <v>165</v>
      </c>
      <c r="D132" s="45">
        <v>1010010</v>
      </c>
      <c r="E132" s="11"/>
      <c r="F132" s="11"/>
      <c r="G132" s="2"/>
      <c r="H132" s="11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x14ac:dyDescent="0.25" r="133" customHeight="1" ht="18">
      <c r="A133" s="2"/>
      <c r="B133" s="35"/>
      <c r="C133" s="44" t="s">
        <v>166</v>
      </c>
      <c r="D133" s="45">
        <v>1010011</v>
      </c>
      <c r="E133" s="11"/>
      <c r="F133" s="11"/>
      <c r="G133" s="2"/>
      <c r="H133" s="11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x14ac:dyDescent="0.25" r="134" customHeight="1" ht="18">
      <c r="A134" s="2"/>
      <c r="B134" s="35"/>
      <c r="C134" s="44" t="s">
        <v>167</v>
      </c>
      <c r="D134" s="45">
        <v>1010012</v>
      </c>
      <c r="E134" s="11"/>
      <c r="F134" s="11"/>
      <c r="G134" s="2"/>
      <c r="H134" s="11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x14ac:dyDescent="0.25" r="135" customHeight="1" ht="18">
      <c r="A135" s="2"/>
      <c r="B135" s="35"/>
      <c r="C135" s="44" t="s">
        <v>168</v>
      </c>
      <c r="D135" s="45">
        <v>102001</v>
      </c>
      <c r="E135" s="11"/>
      <c r="F135" s="11"/>
      <c r="G135" s="2"/>
      <c r="H135" s="11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x14ac:dyDescent="0.25" r="136" customHeight="1" ht="18">
      <c r="A136" s="2"/>
      <c r="B136" s="35"/>
      <c r="C136" s="44" t="s">
        <v>169</v>
      </c>
      <c r="D136" s="45">
        <v>102002</v>
      </c>
      <c r="E136" s="11"/>
      <c r="F136" s="11"/>
      <c r="G136" s="2"/>
      <c r="H136" s="11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x14ac:dyDescent="0.25" r="137" customHeight="1" ht="18">
      <c r="A137" s="2"/>
      <c r="B137" s="35"/>
      <c r="C137" s="44" t="s">
        <v>170</v>
      </c>
      <c r="D137" s="45">
        <v>102003</v>
      </c>
      <c r="E137" s="11"/>
      <c r="F137" s="11"/>
      <c r="G137" s="2"/>
      <c r="H137" s="11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x14ac:dyDescent="0.25" r="138" customHeight="1" ht="18">
      <c r="A138" s="2"/>
      <c r="B138" s="35"/>
      <c r="C138" s="44" t="s">
        <v>171</v>
      </c>
      <c r="D138" s="45">
        <v>102004</v>
      </c>
      <c r="E138" s="11"/>
      <c r="F138" s="11"/>
      <c r="G138" s="2"/>
      <c r="H138" s="11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x14ac:dyDescent="0.25" r="139" customHeight="1" ht="18">
      <c r="A139" s="2"/>
      <c r="B139" s="35"/>
      <c r="C139" s="44" t="s">
        <v>172</v>
      </c>
      <c r="D139" s="45">
        <v>102005</v>
      </c>
      <c r="E139" s="11"/>
      <c r="F139" s="11"/>
      <c r="G139" s="2"/>
      <c r="H139" s="11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x14ac:dyDescent="0.25" r="140" customHeight="1" ht="18">
      <c r="A140" s="2"/>
      <c r="B140" s="35"/>
      <c r="C140" s="44" t="s">
        <v>173</v>
      </c>
      <c r="D140" s="45">
        <v>102006</v>
      </c>
      <c r="E140" s="11"/>
      <c r="F140" s="11"/>
      <c r="G140" s="2"/>
      <c r="H140" s="11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x14ac:dyDescent="0.25" r="141" customHeight="1" ht="18">
      <c r="A141" s="2"/>
      <c r="B141" s="35"/>
      <c r="C141" s="44" t="s">
        <v>174</v>
      </c>
      <c r="D141" s="45">
        <v>102007</v>
      </c>
      <c r="E141" s="11"/>
      <c r="F141" s="11"/>
      <c r="G141" s="2"/>
      <c r="H141" s="11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x14ac:dyDescent="0.25" r="142" customHeight="1" ht="18">
      <c r="A142" s="2"/>
      <c r="B142" s="35"/>
      <c r="C142" s="44" t="s">
        <v>175</v>
      </c>
      <c r="D142" s="45">
        <v>102008</v>
      </c>
      <c r="E142" s="11"/>
      <c r="F142" s="11"/>
      <c r="G142" s="2"/>
      <c r="H142" s="11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x14ac:dyDescent="0.25" r="143" customHeight="1" ht="18">
      <c r="A143" s="2"/>
      <c r="B143" s="35"/>
      <c r="C143" s="44" t="s">
        <v>176</v>
      </c>
      <c r="D143" s="45">
        <v>102009</v>
      </c>
      <c r="E143" s="11"/>
      <c r="F143" s="11"/>
      <c r="G143" s="2"/>
      <c r="H143" s="11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x14ac:dyDescent="0.25" r="144" customHeight="1" ht="18">
      <c r="A144" s="2"/>
      <c r="B144" s="35"/>
      <c r="C144" s="44" t="s">
        <v>177</v>
      </c>
      <c r="D144" s="45">
        <v>1020010</v>
      </c>
      <c r="E144" s="11"/>
      <c r="F144" s="11"/>
      <c r="G144" s="2"/>
      <c r="H144" s="11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x14ac:dyDescent="0.25" r="145" customHeight="1" ht="18">
      <c r="A145" s="2"/>
      <c r="B145" s="35"/>
      <c r="C145" s="44" t="s">
        <v>178</v>
      </c>
      <c r="D145" s="45">
        <v>1020011</v>
      </c>
      <c r="E145" s="11"/>
      <c r="F145" s="11"/>
      <c r="G145" s="2"/>
      <c r="H145" s="11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x14ac:dyDescent="0.25" r="146" customHeight="1" ht="18">
      <c r="A146" s="2"/>
      <c r="B146" s="35"/>
      <c r="C146" s="44" t="s">
        <v>179</v>
      </c>
      <c r="D146" s="45">
        <v>1020012</v>
      </c>
      <c r="E146" s="11"/>
      <c r="F146" s="11"/>
      <c r="G146" s="2"/>
      <c r="H146" s="11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x14ac:dyDescent="0.25" r="147" customHeight="1" ht="18">
      <c r="A147" s="2"/>
      <c r="B147" s="35"/>
      <c r="C147" s="44" t="s">
        <v>180</v>
      </c>
      <c r="D147" s="45">
        <v>1020013</v>
      </c>
      <c r="E147" s="11"/>
      <c r="F147" s="11"/>
      <c r="G147" s="2"/>
      <c r="H147" s="11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x14ac:dyDescent="0.25" r="148" customHeight="1" ht="18">
      <c r="A148" s="2"/>
      <c r="B148" s="35"/>
      <c r="C148" s="44" t="s">
        <v>181</v>
      </c>
      <c r="D148" s="45">
        <v>1020014</v>
      </c>
      <c r="E148" s="11"/>
      <c r="F148" s="11"/>
      <c r="G148" s="2"/>
      <c r="H148" s="11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x14ac:dyDescent="0.25" r="149" customHeight="1" ht="18">
      <c r="A149" s="2"/>
      <c r="B149" s="35"/>
      <c r="C149" s="44" t="s">
        <v>182</v>
      </c>
      <c r="D149" s="45">
        <v>103001</v>
      </c>
      <c r="E149" s="11"/>
      <c r="F149" s="11"/>
      <c r="G149" s="2"/>
      <c r="H149" s="11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x14ac:dyDescent="0.25" r="150" customHeight="1" ht="18">
      <c r="A150" s="2"/>
      <c r="B150" s="35"/>
      <c r="C150" s="44" t="s">
        <v>183</v>
      </c>
      <c r="D150" s="45">
        <v>103002</v>
      </c>
      <c r="E150" s="11"/>
      <c r="F150" s="11"/>
      <c r="G150" s="2"/>
      <c r="H150" s="11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x14ac:dyDescent="0.25" r="151" customHeight="1" ht="18">
      <c r="A151" s="2"/>
      <c r="B151" s="35"/>
      <c r="C151" s="44" t="s">
        <v>184</v>
      </c>
      <c r="D151" s="45">
        <v>103003</v>
      </c>
      <c r="E151" s="11"/>
      <c r="F151" s="11"/>
      <c r="G151" s="2"/>
      <c r="H151" s="11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x14ac:dyDescent="0.25" r="152" customHeight="1" ht="18">
      <c r="A152" s="2"/>
      <c r="B152" s="35"/>
      <c r="C152" s="44" t="s">
        <v>185</v>
      </c>
      <c r="D152" s="45">
        <v>103004</v>
      </c>
      <c r="E152" s="11"/>
      <c r="F152" s="11"/>
      <c r="G152" s="2"/>
      <c r="H152" s="11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x14ac:dyDescent="0.25" r="153" customHeight="1" ht="18">
      <c r="A153" s="2"/>
      <c r="B153" s="35"/>
      <c r="C153" s="44" t="s">
        <v>186</v>
      </c>
      <c r="D153" s="45">
        <v>103006</v>
      </c>
      <c r="E153" s="11"/>
      <c r="F153" s="11"/>
      <c r="G153" s="2"/>
      <c r="H153" s="11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x14ac:dyDescent="0.25" r="154" customHeight="1" ht="18">
      <c r="A154" s="2"/>
      <c r="B154" s="35"/>
      <c r="C154" s="44" t="s">
        <v>187</v>
      </c>
      <c r="D154" s="45">
        <v>103007</v>
      </c>
      <c r="E154" s="11"/>
      <c r="F154" s="11"/>
      <c r="G154" s="2"/>
      <c r="H154" s="11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x14ac:dyDescent="0.25" r="155" customHeight="1" ht="18">
      <c r="A155" s="2"/>
      <c r="B155" s="35"/>
      <c r="C155" s="44" t="s">
        <v>188</v>
      </c>
      <c r="D155" s="45">
        <v>103008</v>
      </c>
      <c r="E155" s="11"/>
      <c r="F155" s="11"/>
      <c r="G155" s="2"/>
      <c r="H155" s="11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x14ac:dyDescent="0.25" r="156" customHeight="1" ht="18">
      <c r="A156" s="2"/>
      <c r="B156" s="35"/>
      <c r="C156" s="44" t="s">
        <v>189</v>
      </c>
      <c r="D156" s="45">
        <v>103009</v>
      </c>
      <c r="E156" s="11"/>
      <c r="F156" s="11"/>
      <c r="G156" s="2"/>
      <c r="H156" s="11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x14ac:dyDescent="0.25" r="157" customHeight="1" ht="18">
      <c r="A157" s="2"/>
      <c r="B157" s="35"/>
      <c r="C157" s="44" t="s">
        <v>190</v>
      </c>
      <c r="D157" s="45">
        <v>1030010</v>
      </c>
      <c r="E157" s="11"/>
      <c r="F157" s="11"/>
      <c r="G157" s="2"/>
      <c r="H157" s="11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x14ac:dyDescent="0.25" r="158" customHeight="1" ht="18">
      <c r="A158" s="2"/>
      <c r="B158" s="35"/>
      <c r="C158" s="44" t="s">
        <v>191</v>
      </c>
      <c r="D158" s="45">
        <v>1030011</v>
      </c>
      <c r="E158" s="11"/>
      <c r="F158" s="11"/>
      <c r="G158" s="2"/>
      <c r="H158" s="11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x14ac:dyDescent="0.25" r="159" customHeight="1" ht="18">
      <c r="A159" s="2"/>
      <c r="B159" s="35"/>
      <c r="C159" s="44" t="s">
        <v>192</v>
      </c>
      <c r="D159" s="45">
        <v>1030012</v>
      </c>
      <c r="E159" s="11"/>
      <c r="F159" s="11"/>
      <c r="G159" s="2"/>
      <c r="H159" s="11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x14ac:dyDescent="0.25" r="160" customHeight="1" ht="18">
      <c r="A160" s="2"/>
      <c r="B160" s="35"/>
      <c r="C160" s="44" t="s">
        <v>193</v>
      </c>
      <c r="D160" s="45">
        <v>1030013</v>
      </c>
      <c r="E160" s="11"/>
      <c r="F160" s="11"/>
      <c r="G160" s="2"/>
      <c r="H160" s="11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x14ac:dyDescent="0.25" r="161" customHeight="1" ht="18">
      <c r="A161" s="2"/>
      <c r="B161" s="35"/>
      <c r="C161" s="44" t="s">
        <v>194</v>
      </c>
      <c r="D161" s="45">
        <v>1030014</v>
      </c>
      <c r="E161" s="11"/>
      <c r="F161" s="11"/>
      <c r="G161" s="2"/>
      <c r="H161" s="11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x14ac:dyDescent="0.25" r="162" customHeight="1" ht="18">
      <c r="A162" s="2"/>
      <c r="B162" s="35"/>
      <c r="C162" s="44" t="s">
        <v>195</v>
      </c>
      <c r="D162" s="45">
        <v>1030015</v>
      </c>
      <c r="E162" s="11"/>
      <c r="F162" s="11"/>
      <c r="G162" s="2"/>
      <c r="H162" s="11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x14ac:dyDescent="0.25" r="163" customHeight="1" ht="18">
      <c r="A163" s="2"/>
      <c r="B163" s="35"/>
      <c r="C163" s="44" t="s">
        <v>196</v>
      </c>
      <c r="D163" s="45">
        <v>104011</v>
      </c>
      <c r="E163" s="11"/>
      <c r="F163" s="11"/>
      <c r="G163" s="2"/>
      <c r="H163" s="11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x14ac:dyDescent="0.25" r="164" customHeight="1" ht="18">
      <c r="A164" s="2"/>
      <c r="B164" s="35"/>
      <c r="C164" s="44" t="s">
        <v>197</v>
      </c>
      <c r="D164" s="45">
        <v>104012</v>
      </c>
      <c r="E164" s="11"/>
      <c r="F164" s="11"/>
      <c r="G164" s="2"/>
      <c r="H164" s="11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x14ac:dyDescent="0.25" r="165" customHeight="1" ht="18">
      <c r="A165" s="2"/>
      <c r="B165" s="35"/>
      <c r="C165" s="44" t="s">
        <v>198</v>
      </c>
      <c r="D165" s="45">
        <v>104013</v>
      </c>
      <c r="E165" s="11"/>
      <c r="F165" s="11"/>
      <c r="G165" s="2"/>
      <c r="H165" s="11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x14ac:dyDescent="0.25" r="166" customHeight="1" ht="18">
      <c r="A166" s="2"/>
      <c r="B166" s="35"/>
      <c r="C166" s="44" t="s">
        <v>199</v>
      </c>
      <c r="D166" s="45">
        <v>104014</v>
      </c>
      <c r="E166" s="11"/>
      <c r="F166" s="11"/>
      <c r="G166" s="2"/>
      <c r="H166" s="11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x14ac:dyDescent="0.25" r="167" customHeight="1" ht="18">
      <c r="A167" s="2"/>
      <c r="B167" s="35"/>
      <c r="C167" s="44" t="s">
        <v>200</v>
      </c>
      <c r="D167" s="45">
        <v>104015</v>
      </c>
      <c r="E167" s="11"/>
      <c r="F167" s="11"/>
      <c r="G167" s="2"/>
      <c r="H167" s="11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x14ac:dyDescent="0.25" r="168" customHeight="1" ht="18">
      <c r="A168" s="2"/>
      <c r="B168" s="35"/>
      <c r="C168" s="44" t="s">
        <v>201</v>
      </c>
      <c r="D168" s="45">
        <v>104016</v>
      </c>
      <c r="E168" s="11"/>
      <c r="F168" s="11"/>
      <c r="G168" s="2"/>
      <c r="H168" s="11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x14ac:dyDescent="0.25" r="169" customHeight="1" ht="18">
      <c r="A169" s="2"/>
      <c r="B169" s="35"/>
      <c r="C169" s="44" t="s">
        <v>202</v>
      </c>
      <c r="D169" s="45">
        <v>104017</v>
      </c>
      <c r="E169" s="11"/>
      <c r="F169" s="11"/>
      <c r="G169" s="2"/>
      <c r="H169" s="11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x14ac:dyDescent="0.25" r="170" customHeight="1" ht="18">
      <c r="A170" s="2"/>
      <c r="B170" s="35"/>
      <c r="C170" s="44" t="s">
        <v>203</v>
      </c>
      <c r="D170" s="45">
        <v>104018</v>
      </c>
      <c r="E170" s="11"/>
      <c r="F170" s="11"/>
      <c r="G170" s="2"/>
      <c r="H170" s="11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x14ac:dyDescent="0.25" r="171" customHeight="1" ht="18">
      <c r="A171" s="2"/>
      <c r="B171" s="35"/>
      <c r="C171" s="44" t="s">
        <v>204</v>
      </c>
      <c r="D171" s="45">
        <v>104019</v>
      </c>
      <c r="E171" s="11"/>
      <c r="F171" s="11"/>
      <c r="G171" s="2"/>
      <c r="H171" s="11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x14ac:dyDescent="0.25" r="172" customHeight="1" ht="18">
      <c r="A172" s="2"/>
      <c r="B172" s="35"/>
      <c r="C172" s="44" t="s">
        <v>205</v>
      </c>
      <c r="D172" s="45">
        <v>106001</v>
      </c>
      <c r="E172" s="11"/>
      <c r="F172" s="11"/>
      <c r="G172" s="2"/>
      <c r="H172" s="11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x14ac:dyDescent="0.25" r="173" customHeight="1" ht="18">
      <c r="A173" s="2"/>
      <c r="B173" s="35"/>
      <c r="C173" s="44" t="s">
        <v>206</v>
      </c>
      <c r="D173" s="45">
        <v>106002</v>
      </c>
      <c r="E173" s="11"/>
      <c r="F173" s="11"/>
      <c r="G173" s="2"/>
      <c r="H173" s="11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x14ac:dyDescent="0.25" r="174" customHeight="1" ht="18">
      <c r="A174" s="2"/>
      <c r="B174" s="35"/>
      <c r="C174" s="44" t="s">
        <v>207</v>
      </c>
      <c r="D174" s="45">
        <v>106003</v>
      </c>
      <c r="E174" s="11"/>
      <c r="F174" s="11"/>
      <c r="G174" s="2"/>
      <c r="H174" s="11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x14ac:dyDescent="0.25" r="175" customHeight="1" ht="18">
      <c r="A175" s="2"/>
      <c r="B175" s="35"/>
      <c r="C175" s="44" t="s">
        <v>208</v>
      </c>
      <c r="D175" s="45">
        <v>106004</v>
      </c>
      <c r="E175" s="11"/>
      <c r="F175" s="11"/>
      <c r="G175" s="2"/>
      <c r="H175" s="11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x14ac:dyDescent="0.25" r="176" customHeight="1" ht="18">
      <c r="A176" s="2"/>
      <c r="B176" s="35"/>
      <c r="C176" s="44" t="s">
        <v>209</v>
      </c>
      <c r="D176" s="45">
        <v>106005</v>
      </c>
      <c r="E176" s="11"/>
      <c r="F176" s="11"/>
      <c r="G176" s="2"/>
      <c r="H176" s="11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x14ac:dyDescent="0.25" r="177" customHeight="1" ht="18">
      <c r="A177" s="2"/>
      <c r="B177" s="35"/>
      <c r="C177" s="44" t="s">
        <v>210</v>
      </c>
      <c r="D177" s="45">
        <v>106006</v>
      </c>
      <c r="E177" s="11"/>
      <c r="F177" s="11"/>
      <c r="G177" s="2"/>
      <c r="H177" s="11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x14ac:dyDescent="0.25" r="178" customHeight="1" ht="18">
      <c r="A178" s="2"/>
      <c r="B178" s="35"/>
      <c r="C178" s="44" t="s">
        <v>211</v>
      </c>
      <c r="D178" s="45">
        <v>106007</v>
      </c>
      <c r="E178" s="11"/>
      <c r="F178" s="11"/>
      <c r="G178" s="2"/>
      <c r="H178" s="11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x14ac:dyDescent="0.25" r="179" customHeight="1" ht="18">
      <c r="A179" s="2"/>
      <c r="B179" s="35"/>
      <c r="C179" s="44" t="s">
        <v>212</v>
      </c>
      <c r="D179" s="45">
        <v>106008</v>
      </c>
      <c r="E179" s="11"/>
      <c r="F179" s="11"/>
      <c r="G179" s="2"/>
      <c r="H179" s="11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x14ac:dyDescent="0.25" r="180" customHeight="1" ht="18">
      <c r="A180" s="2"/>
      <c r="B180" s="35"/>
      <c r="C180" s="44" t="s">
        <v>213</v>
      </c>
      <c r="D180" s="45">
        <v>107001</v>
      </c>
      <c r="E180" s="11"/>
      <c r="F180" s="11"/>
      <c r="G180" s="2"/>
      <c r="H180" s="11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x14ac:dyDescent="0.25" r="181" customHeight="1" ht="18">
      <c r="A181" s="2"/>
      <c r="B181" s="35"/>
      <c r="C181" s="44" t="s">
        <v>214</v>
      </c>
      <c r="D181" s="45">
        <v>107002</v>
      </c>
      <c r="E181" s="11"/>
      <c r="F181" s="11"/>
      <c r="G181" s="2"/>
      <c r="H181" s="11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x14ac:dyDescent="0.25" r="182" customHeight="1" ht="18">
      <c r="A182" s="2"/>
      <c r="B182" s="35"/>
      <c r="C182" s="44" t="s">
        <v>215</v>
      </c>
      <c r="D182" s="45">
        <v>107003</v>
      </c>
      <c r="E182" s="11"/>
      <c r="F182" s="11"/>
      <c r="G182" s="2"/>
      <c r="H182" s="11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x14ac:dyDescent="0.25" r="183" customHeight="1" ht="18">
      <c r="A183" s="2"/>
      <c r="B183" s="35"/>
      <c r="C183" s="44" t="s">
        <v>216</v>
      </c>
      <c r="D183" s="45">
        <v>107004</v>
      </c>
      <c r="E183" s="11"/>
      <c r="F183" s="11"/>
      <c r="G183" s="2"/>
      <c r="H183" s="11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x14ac:dyDescent="0.25" r="184" customHeight="1" ht="18">
      <c r="A184" s="2"/>
      <c r="B184" s="35"/>
      <c r="C184" s="44" t="s">
        <v>217</v>
      </c>
      <c r="D184" s="45">
        <v>107005</v>
      </c>
      <c r="E184" s="11"/>
      <c r="F184" s="11"/>
      <c r="G184" s="2"/>
      <c r="H184" s="11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x14ac:dyDescent="0.25" r="185" customHeight="1" ht="18">
      <c r="A185" s="2"/>
      <c r="B185" s="35"/>
      <c r="C185" s="44" t="s">
        <v>218</v>
      </c>
      <c r="D185" s="45">
        <v>108001</v>
      </c>
      <c r="E185" s="11"/>
      <c r="F185" s="11"/>
      <c r="G185" s="2"/>
      <c r="H185" s="11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x14ac:dyDescent="0.25" r="186" customHeight="1" ht="18">
      <c r="A186" s="2"/>
      <c r="B186" s="35"/>
      <c r="C186" s="44" t="s">
        <v>219</v>
      </c>
      <c r="D186" s="45">
        <v>108002</v>
      </c>
      <c r="E186" s="11"/>
      <c r="F186" s="11"/>
      <c r="G186" s="2"/>
      <c r="H186" s="11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x14ac:dyDescent="0.25" r="187" customHeight="1" ht="18">
      <c r="A187" s="2"/>
      <c r="B187" s="35"/>
      <c r="C187" s="44" t="s">
        <v>220</v>
      </c>
      <c r="D187" s="45">
        <v>108003</v>
      </c>
      <c r="E187" s="11"/>
      <c r="F187" s="11"/>
      <c r="G187" s="2"/>
      <c r="H187" s="11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x14ac:dyDescent="0.25" r="188" customHeight="1" ht="18">
      <c r="A188" s="2"/>
      <c r="B188" s="35"/>
      <c r="C188" s="44" t="s">
        <v>221</v>
      </c>
      <c r="D188" s="45">
        <v>108004</v>
      </c>
      <c r="E188" s="11"/>
      <c r="F188" s="11"/>
      <c r="G188" s="2"/>
      <c r="H188" s="11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x14ac:dyDescent="0.25" r="189" customHeight="1" ht="18">
      <c r="A189" s="2"/>
      <c r="B189" s="35"/>
      <c r="C189" s="44" t="s">
        <v>222</v>
      </c>
      <c r="D189" s="45">
        <v>108005</v>
      </c>
      <c r="E189" s="11"/>
      <c r="F189" s="11"/>
      <c r="G189" s="2"/>
      <c r="H189" s="11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x14ac:dyDescent="0.25" r="190" customHeight="1" ht="18">
      <c r="A190" s="2"/>
      <c r="B190" s="35"/>
      <c r="C190" s="44" t="s">
        <v>223</v>
      </c>
      <c r="D190" s="45">
        <v>109001</v>
      </c>
      <c r="E190" s="11"/>
      <c r="F190" s="11"/>
      <c r="G190" s="2"/>
      <c r="H190" s="11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x14ac:dyDescent="0.25" r="191" customHeight="1" ht="18">
      <c r="A191" s="2"/>
      <c r="B191" s="35"/>
      <c r="C191" s="44" t="s">
        <v>224</v>
      </c>
      <c r="D191" s="45">
        <v>109002</v>
      </c>
      <c r="E191" s="11"/>
      <c r="F191" s="11"/>
      <c r="G191" s="2"/>
      <c r="H191" s="11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x14ac:dyDescent="0.25" r="192" customHeight="1" ht="18">
      <c r="A192" s="2"/>
      <c r="B192" s="35"/>
      <c r="C192" s="44" t="s">
        <v>225</v>
      </c>
      <c r="D192" s="45">
        <v>109003</v>
      </c>
      <c r="E192" s="11"/>
      <c r="F192" s="11"/>
      <c r="G192" s="2"/>
      <c r="H192" s="11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x14ac:dyDescent="0.25" r="193" customHeight="1" ht="18">
      <c r="A193" s="2"/>
      <c r="B193" s="35"/>
      <c r="C193" s="44" t="s">
        <v>226</v>
      </c>
      <c r="D193" s="45">
        <v>109004</v>
      </c>
      <c r="E193" s="11"/>
      <c r="F193" s="11"/>
      <c r="G193" s="2"/>
      <c r="H193" s="11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x14ac:dyDescent="0.25" r="194" customHeight="1" ht="18">
      <c r="A194" s="2"/>
      <c r="B194" s="35"/>
      <c r="C194" s="44" t="s">
        <v>227</v>
      </c>
      <c r="D194" s="45">
        <v>109005</v>
      </c>
      <c r="E194" s="11"/>
      <c r="F194" s="11"/>
      <c r="G194" s="2"/>
      <c r="H194" s="11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x14ac:dyDescent="0.25" r="195" customHeight="1" ht="18">
      <c r="A195" s="2"/>
      <c r="B195" s="35"/>
      <c r="C195" s="44" t="s">
        <v>228</v>
      </c>
      <c r="D195" s="45">
        <v>109006</v>
      </c>
      <c r="E195" s="11"/>
      <c r="F195" s="11"/>
      <c r="G195" s="2"/>
      <c r="H195" s="11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x14ac:dyDescent="0.25" r="196" customHeight="1" ht="18">
      <c r="A196" s="2"/>
      <c r="B196" s="35"/>
      <c r="C196" s="44" t="s">
        <v>229</v>
      </c>
      <c r="D196" s="45">
        <v>109007</v>
      </c>
      <c r="E196" s="11"/>
      <c r="F196" s="11"/>
      <c r="G196" s="2"/>
      <c r="H196" s="11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x14ac:dyDescent="0.25" r="197" customHeight="1" ht="18">
      <c r="A197" s="2"/>
      <c r="B197" s="35"/>
      <c r="C197" s="44" t="s">
        <v>230</v>
      </c>
      <c r="D197" s="45">
        <v>110011</v>
      </c>
      <c r="E197" s="11"/>
      <c r="F197" s="11"/>
      <c r="G197" s="2"/>
      <c r="H197" s="11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x14ac:dyDescent="0.25" r="198" customHeight="1" ht="18">
      <c r="A198" s="2"/>
      <c r="B198" s="35"/>
      <c r="C198" s="44" t="s">
        <v>231</v>
      </c>
      <c r="D198" s="45">
        <v>110012</v>
      </c>
      <c r="E198" s="11"/>
      <c r="F198" s="11"/>
      <c r="G198" s="2"/>
      <c r="H198" s="11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x14ac:dyDescent="0.25" r="199" customHeight="1" ht="18">
      <c r="A199" s="2"/>
      <c r="B199" s="35"/>
      <c r="C199" s="44" t="s">
        <v>232</v>
      </c>
      <c r="D199" s="45">
        <v>110013</v>
      </c>
      <c r="E199" s="11"/>
      <c r="F199" s="11"/>
      <c r="G199" s="2"/>
      <c r="H199" s="11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x14ac:dyDescent="0.25" r="200" customHeight="1" ht="18">
      <c r="A200" s="2"/>
      <c r="B200" s="35"/>
      <c r="C200" s="44" t="s">
        <v>233</v>
      </c>
      <c r="D200" s="45">
        <v>110014</v>
      </c>
      <c r="E200" s="11"/>
      <c r="F200" s="11"/>
      <c r="G200" s="2"/>
      <c r="H200" s="11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x14ac:dyDescent="0.25" r="201" customHeight="1" ht="18">
      <c r="A201" s="2"/>
      <c r="B201" s="35"/>
      <c r="C201" s="44" t="s">
        <v>234</v>
      </c>
      <c r="D201" s="45">
        <v>110015</v>
      </c>
      <c r="E201" s="11"/>
      <c r="F201" s="11"/>
      <c r="G201" s="2"/>
      <c r="H201" s="11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x14ac:dyDescent="0.25" r="202" customHeight="1" ht="18">
      <c r="A202" s="2"/>
      <c r="B202" s="35"/>
      <c r="C202" s="44" t="s">
        <v>235</v>
      </c>
      <c r="D202" s="45">
        <v>110016</v>
      </c>
      <c r="E202" s="11"/>
      <c r="F202" s="11"/>
      <c r="G202" s="2"/>
      <c r="H202" s="11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x14ac:dyDescent="0.25" r="203" customHeight="1" ht="18">
      <c r="A203" s="2"/>
      <c r="B203" s="35"/>
      <c r="C203" s="44" t="s">
        <v>236</v>
      </c>
      <c r="D203" s="45">
        <v>110017</v>
      </c>
      <c r="E203" s="11"/>
      <c r="F203" s="11"/>
      <c r="G203" s="2"/>
      <c r="H203" s="11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x14ac:dyDescent="0.25" r="204" customHeight="1" ht="18">
      <c r="A204" s="2"/>
      <c r="B204" s="35"/>
      <c r="C204" s="44" t="s">
        <v>237</v>
      </c>
      <c r="D204" s="45">
        <v>110018</v>
      </c>
      <c r="E204" s="11"/>
      <c r="F204" s="11"/>
      <c r="G204" s="2"/>
      <c r="H204" s="11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x14ac:dyDescent="0.25" r="205" customHeight="1" ht="18">
      <c r="A205" s="2"/>
      <c r="B205" s="35"/>
      <c r="C205" s="44" t="s">
        <v>238</v>
      </c>
      <c r="D205" s="45">
        <v>110019</v>
      </c>
      <c r="E205" s="11"/>
      <c r="F205" s="11"/>
      <c r="G205" s="2"/>
      <c r="H205" s="11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x14ac:dyDescent="0.25" r="206" customHeight="1" ht="18">
      <c r="A206" s="2"/>
      <c r="B206" s="35"/>
      <c r="C206" s="44" t="s">
        <v>239</v>
      </c>
      <c r="D206" s="45">
        <v>1100110</v>
      </c>
      <c r="E206" s="11"/>
      <c r="F206" s="11"/>
      <c r="G206" s="2"/>
      <c r="H206" s="11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x14ac:dyDescent="0.25" r="207" customHeight="1" ht="18">
      <c r="A207" s="2"/>
      <c r="B207" s="35"/>
      <c r="C207" s="44" t="s">
        <v>240</v>
      </c>
      <c r="D207" s="45">
        <v>1100111</v>
      </c>
      <c r="E207" s="11"/>
      <c r="F207" s="11"/>
      <c r="G207" s="2"/>
      <c r="H207" s="11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x14ac:dyDescent="0.25" r="208" customHeight="1" ht="18">
      <c r="A208" s="2"/>
      <c r="B208" s="35"/>
      <c r="C208" s="44" t="s">
        <v>241</v>
      </c>
      <c r="D208" s="45">
        <v>110021</v>
      </c>
      <c r="E208" s="11"/>
      <c r="F208" s="11"/>
      <c r="G208" s="2"/>
      <c r="H208" s="11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x14ac:dyDescent="0.25" r="209" customHeight="1" ht="18">
      <c r="A209" s="2"/>
      <c r="B209" s="35"/>
      <c r="C209" s="44" t="s">
        <v>242</v>
      </c>
      <c r="D209" s="45">
        <v>110022</v>
      </c>
      <c r="E209" s="11"/>
      <c r="F209" s="11"/>
      <c r="G209" s="2"/>
      <c r="H209" s="11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x14ac:dyDescent="0.25" r="210" customHeight="1" ht="18">
      <c r="A210" s="2"/>
      <c r="B210" s="35"/>
      <c r="C210" s="44" t="s">
        <v>243</v>
      </c>
      <c r="D210" s="45">
        <v>110023</v>
      </c>
      <c r="E210" s="11"/>
      <c r="F210" s="11"/>
      <c r="G210" s="2"/>
      <c r="H210" s="11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x14ac:dyDescent="0.25" r="211" customHeight="1" ht="18">
      <c r="A211" s="2"/>
      <c r="B211" s="35"/>
      <c r="C211" s="44" t="s">
        <v>244</v>
      </c>
      <c r="D211" s="45">
        <v>110024</v>
      </c>
      <c r="E211" s="11"/>
      <c r="F211" s="11"/>
      <c r="G211" s="2"/>
      <c r="H211" s="11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x14ac:dyDescent="0.25" r="212" customHeight="1" ht="18">
      <c r="A212" s="2"/>
      <c r="B212" s="35"/>
      <c r="C212" s="44" t="s">
        <v>245</v>
      </c>
      <c r="D212" s="45">
        <v>110025</v>
      </c>
      <c r="E212" s="11"/>
      <c r="F212" s="11"/>
      <c r="G212" s="2"/>
      <c r="H212" s="11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x14ac:dyDescent="0.25" r="213" customHeight="1" ht="18">
      <c r="A213" s="2"/>
      <c r="B213" s="35"/>
      <c r="C213" s="44" t="s">
        <v>246</v>
      </c>
      <c r="D213" s="45">
        <v>110026</v>
      </c>
      <c r="E213" s="11"/>
      <c r="F213" s="11"/>
      <c r="G213" s="2"/>
      <c r="H213" s="11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x14ac:dyDescent="0.25" r="214" customHeight="1" ht="18">
      <c r="A214" s="2"/>
      <c r="B214" s="35"/>
      <c r="C214" s="44" t="s">
        <v>247</v>
      </c>
      <c r="D214" s="45">
        <v>110027</v>
      </c>
      <c r="E214" s="11"/>
      <c r="F214" s="11"/>
      <c r="G214" s="2"/>
      <c r="H214" s="11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x14ac:dyDescent="0.25" r="215" customHeight="1" ht="18">
      <c r="A215" s="2"/>
      <c r="B215" s="35"/>
      <c r="C215" s="44" t="s">
        <v>248</v>
      </c>
      <c r="D215" s="45">
        <v>110028</v>
      </c>
      <c r="E215" s="11"/>
      <c r="F215" s="11"/>
      <c r="G215" s="2"/>
      <c r="H215" s="11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x14ac:dyDescent="0.25" r="216" customHeight="1" ht="18">
      <c r="A216" s="2"/>
      <c r="B216" s="35"/>
      <c r="C216" s="44" t="s">
        <v>249</v>
      </c>
      <c r="D216" s="45">
        <v>110029</v>
      </c>
      <c r="E216" s="11"/>
      <c r="F216" s="11"/>
      <c r="G216" s="2"/>
      <c r="H216" s="11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x14ac:dyDescent="0.25" r="217" customHeight="1" ht="18">
      <c r="A217" s="2"/>
      <c r="B217" s="35"/>
      <c r="C217" s="44" t="s">
        <v>250</v>
      </c>
      <c r="D217" s="45">
        <v>1100210</v>
      </c>
      <c r="E217" s="11"/>
      <c r="F217" s="11"/>
      <c r="G217" s="2"/>
      <c r="H217" s="11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x14ac:dyDescent="0.25" r="218" customHeight="1" ht="18">
      <c r="A218" s="2"/>
      <c r="B218" s="35"/>
      <c r="C218" s="44" t="s">
        <v>251</v>
      </c>
      <c r="D218" s="45">
        <v>1100211</v>
      </c>
      <c r="E218" s="11"/>
      <c r="F218" s="11"/>
      <c r="G218" s="2"/>
      <c r="H218" s="11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x14ac:dyDescent="0.25" r="219" customHeight="1" ht="18">
      <c r="A219" s="2"/>
      <c r="B219" s="35"/>
      <c r="C219" s="44" t="s">
        <v>252</v>
      </c>
      <c r="D219" s="45">
        <v>111001</v>
      </c>
      <c r="E219" s="11"/>
      <c r="F219" s="11"/>
      <c r="G219" s="2"/>
      <c r="H219" s="11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x14ac:dyDescent="0.25" r="220" customHeight="1" ht="18">
      <c r="A220" s="2"/>
      <c r="B220" s="35"/>
      <c r="C220" s="44" t="s">
        <v>253</v>
      </c>
      <c r="D220" s="45">
        <v>111002</v>
      </c>
      <c r="E220" s="11"/>
      <c r="F220" s="11"/>
      <c r="G220" s="2"/>
      <c r="H220" s="11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x14ac:dyDescent="0.25" r="221" customHeight="1" ht="18">
      <c r="A221" s="2"/>
      <c r="B221" s="35"/>
      <c r="C221" s="44" t="s">
        <v>254</v>
      </c>
      <c r="D221" s="45">
        <v>111003</v>
      </c>
      <c r="E221" s="11"/>
      <c r="F221" s="11"/>
      <c r="G221" s="2"/>
      <c r="H221" s="11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x14ac:dyDescent="0.25" r="222" customHeight="1" ht="18">
      <c r="A222" s="2"/>
      <c r="B222" s="35"/>
      <c r="C222" s="44" t="s">
        <v>255</v>
      </c>
      <c r="D222" s="45">
        <v>111004</v>
      </c>
      <c r="E222" s="11"/>
      <c r="F222" s="11"/>
      <c r="G222" s="2"/>
      <c r="H222" s="11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x14ac:dyDescent="0.25" r="223" customHeight="1" ht="18">
      <c r="A223" s="2"/>
      <c r="B223" s="35"/>
      <c r="C223" s="44" t="s">
        <v>256</v>
      </c>
      <c r="D223" s="45">
        <v>111005</v>
      </c>
      <c r="E223" s="11"/>
      <c r="F223" s="11"/>
      <c r="G223" s="2"/>
      <c r="H223" s="11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x14ac:dyDescent="0.25" r="224" customHeight="1" ht="18">
      <c r="A224" s="2"/>
      <c r="B224" s="35"/>
      <c r="C224" s="44" t="s">
        <v>257</v>
      </c>
      <c r="D224" s="45">
        <v>111006</v>
      </c>
      <c r="E224" s="11"/>
      <c r="F224" s="11"/>
      <c r="G224" s="2"/>
      <c r="H224" s="11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x14ac:dyDescent="0.25" r="225" customHeight="1" ht="18">
      <c r="A225" s="2"/>
      <c r="B225" s="35"/>
      <c r="C225" s="44" t="s">
        <v>258</v>
      </c>
      <c r="D225" s="45">
        <v>111007</v>
      </c>
      <c r="E225" s="11"/>
      <c r="F225" s="11"/>
      <c r="G225" s="2"/>
      <c r="H225" s="11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x14ac:dyDescent="0.25" r="226" customHeight="1" ht="18">
      <c r="A226" s="2"/>
      <c r="B226" s="35"/>
      <c r="C226" s="44" t="s">
        <v>259</v>
      </c>
      <c r="D226" s="45">
        <v>111008</v>
      </c>
      <c r="E226" s="11"/>
      <c r="F226" s="11"/>
      <c r="G226" s="2"/>
      <c r="H226" s="11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x14ac:dyDescent="0.25" r="227" customHeight="1" ht="18">
      <c r="A227" s="2"/>
      <c r="B227" s="35"/>
      <c r="C227" s="44" t="s">
        <v>260</v>
      </c>
      <c r="D227" s="45">
        <v>111009</v>
      </c>
      <c r="E227" s="11"/>
      <c r="F227" s="11"/>
      <c r="G227" s="2"/>
      <c r="H227" s="11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x14ac:dyDescent="0.25" r="228" customHeight="1" ht="18">
      <c r="A228" s="2"/>
      <c r="B228" s="35"/>
      <c r="C228" s="44" t="s">
        <v>261</v>
      </c>
      <c r="D228" s="45">
        <v>1110010</v>
      </c>
      <c r="E228" s="11"/>
      <c r="F228" s="11"/>
      <c r="G228" s="2"/>
      <c r="H228" s="11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x14ac:dyDescent="0.25" r="229" customHeight="1" ht="18">
      <c r="A229" s="2"/>
      <c r="B229" s="35"/>
      <c r="C229" s="44" t="s">
        <v>262</v>
      </c>
      <c r="D229" s="45">
        <v>1110011</v>
      </c>
      <c r="E229" s="11"/>
      <c r="F229" s="11"/>
      <c r="G229" s="2"/>
      <c r="H229" s="11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x14ac:dyDescent="0.25" r="230" customHeight="1" ht="18">
      <c r="A230" s="2"/>
      <c r="B230" s="35"/>
      <c r="C230" s="44" t="s">
        <v>263</v>
      </c>
      <c r="D230" s="45">
        <v>1110012</v>
      </c>
      <c r="E230" s="11"/>
      <c r="F230" s="11"/>
      <c r="G230" s="2"/>
      <c r="H230" s="11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x14ac:dyDescent="0.25" r="231" customHeight="1" ht="18">
      <c r="A231" s="2"/>
      <c r="B231" s="35"/>
      <c r="C231" s="44" t="s">
        <v>264</v>
      </c>
      <c r="D231" s="45">
        <v>1110013</v>
      </c>
      <c r="E231" s="11"/>
      <c r="F231" s="11"/>
      <c r="G231" s="2"/>
      <c r="H231" s="11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x14ac:dyDescent="0.25" r="232" customHeight="1" ht="18">
      <c r="A232" s="2"/>
      <c r="B232" s="35"/>
      <c r="C232" s="44" t="s">
        <v>265</v>
      </c>
      <c r="D232" s="45">
        <v>1110014</v>
      </c>
      <c r="E232" s="11"/>
      <c r="F232" s="11"/>
      <c r="G232" s="2"/>
      <c r="H232" s="11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x14ac:dyDescent="0.25" r="233" customHeight="1" ht="18">
      <c r="A233" s="2"/>
      <c r="B233" s="35"/>
      <c r="C233" s="44" t="s">
        <v>266</v>
      </c>
      <c r="D233" s="45">
        <v>1110015</v>
      </c>
      <c r="E233" s="11"/>
      <c r="F233" s="11"/>
      <c r="G233" s="2"/>
      <c r="H233" s="11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x14ac:dyDescent="0.25" r="234" customHeight="1" ht="18">
      <c r="A234" s="2"/>
      <c r="B234" s="35"/>
      <c r="C234" s="44" t="s">
        <v>267</v>
      </c>
      <c r="D234" s="45">
        <v>1110016</v>
      </c>
      <c r="E234" s="11"/>
      <c r="F234" s="11"/>
      <c r="G234" s="2"/>
      <c r="H234" s="11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x14ac:dyDescent="0.25" r="235" customHeight="1" ht="18">
      <c r="A235" s="2"/>
      <c r="B235" s="35"/>
      <c r="C235" s="44" t="s">
        <v>268</v>
      </c>
      <c r="D235" s="45">
        <v>1110017</v>
      </c>
      <c r="E235" s="11"/>
      <c r="F235" s="11"/>
      <c r="G235" s="2"/>
      <c r="H235" s="11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x14ac:dyDescent="0.25" r="236" customHeight="1" ht="18">
      <c r="A236" s="2"/>
      <c r="B236" s="35"/>
      <c r="C236" s="44" t="s">
        <v>269</v>
      </c>
      <c r="D236" s="45">
        <v>1110018</v>
      </c>
      <c r="E236" s="11"/>
      <c r="F236" s="11"/>
      <c r="G236" s="2"/>
      <c r="H236" s="11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x14ac:dyDescent="0.25" r="237" customHeight="1" ht="18">
      <c r="A237" s="2"/>
      <c r="B237" s="35"/>
      <c r="C237" s="44" t="s">
        <v>270</v>
      </c>
      <c r="D237" s="45">
        <v>1110019</v>
      </c>
      <c r="E237" s="11"/>
      <c r="F237" s="11"/>
      <c r="G237" s="2"/>
      <c r="H237" s="11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x14ac:dyDescent="0.25" r="238" customHeight="1" ht="18">
      <c r="A238" s="2"/>
      <c r="B238" s="35"/>
      <c r="C238" s="44" t="s">
        <v>271</v>
      </c>
      <c r="D238" s="45">
        <v>1110020</v>
      </c>
      <c r="E238" s="11"/>
      <c r="F238" s="11"/>
      <c r="G238" s="2"/>
      <c r="H238" s="11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x14ac:dyDescent="0.25" r="239" customHeight="1" ht="18">
      <c r="A239" s="2"/>
      <c r="B239" s="35"/>
      <c r="C239" s="44" t="s">
        <v>272</v>
      </c>
      <c r="D239" s="45">
        <v>1110021</v>
      </c>
      <c r="E239" s="11"/>
      <c r="F239" s="11"/>
      <c r="G239" s="2"/>
      <c r="H239" s="11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x14ac:dyDescent="0.25" r="240" customHeight="1" ht="18">
      <c r="A240" s="2"/>
      <c r="B240" s="35"/>
      <c r="C240" s="44" t="s">
        <v>273</v>
      </c>
      <c r="D240" s="45">
        <v>1110022</v>
      </c>
      <c r="E240" s="11"/>
      <c r="F240" s="11"/>
      <c r="G240" s="2"/>
      <c r="H240" s="11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x14ac:dyDescent="0.25" r="241" customHeight="1" ht="18">
      <c r="A241" s="2"/>
      <c r="B241" s="35"/>
      <c r="C241" s="44" t="s">
        <v>274</v>
      </c>
      <c r="D241" s="45">
        <v>1110023</v>
      </c>
      <c r="E241" s="11"/>
      <c r="F241" s="11"/>
      <c r="G241" s="2"/>
      <c r="H241" s="11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x14ac:dyDescent="0.25" r="242" customHeight="1" ht="18">
      <c r="A242" s="2"/>
      <c r="B242" s="35"/>
      <c r="C242" s="44" t="s">
        <v>275</v>
      </c>
      <c r="D242" s="45">
        <v>1110024</v>
      </c>
      <c r="E242" s="11"/>
      <c r="F242" s="11"/>
      <c r="G242" s="2"/>
      <c r="H242" s="11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x14ac:dyDescent="0.25" r="243" customHeight="1" ht="18">
      <c r="A243" s="2"/>
      <c r="B243" s="35"/>
      <c r="C243" s="44" t="s">
        <v>276</v>
      </c>
      <c r="D243" s="45">
        <v>1110025</v>
      </c>
      <c r="E243" s="11"/>
      <c r="F243" s="11"/>
      <c r="G243" s="2"/>
      <c r="H243" s="11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x14ac:dyDescent="0.25" r="244" customHeight="1" ht="18">
      <c r="A244" s="2"/>
      <c r="B244" s="35"/>
      <c r="C244" s="44" t="s">
        <v>277</v>
      </c>
      <c r="D244" s="45">
        <v>1110026</v>
      </c>
      <c r="E244" s="11"/>
      <c r="F244" s="11"/>
      <c r="G244" s="2"/>
      <c r="H244" s="11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x14ac:dyDescent="0.25" r="245" customHeight="1" ht="18">
      <c r="A245" s="2"/>
      <c r="B245" s="35"/>
      <c r="C245" s="44" t="s">
        <v>278</v>
      </c>
      <c r="D245" s="45">
        <v>1110027</v>
      </c>
      <c r="E245" s="11"/>
      <c r="F245" s="11"/>
      <c r="G245" s="2"/>
      <c r="H245" s="11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x14ac:dyDescent="0.25" r="246" customHeight="1" ht="18">
      <c r="A246" s="2"/>
      <c r="B246" s="35"/>
      <c r="C246" s="44" t="s">
        <v>279</v>
      </c>
      <c r="D246" s="45">
        <v>1110028</v>
      </c>
      <c r="E246" s="11"/>
      <c r="F246" s="11"/>
      <c r="G246" s="2"/>
      <c r="H246" s="11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x14ac:dyDescent="0.25" r="247" customHeight="1" ht="18">
      <c r="A247" s="2"/>
      <c r="B247" s="35"/>
      <c r="C247" s="44" t="s">
        <v>280</v>
      </c>
      <c r="D247" s="45">
        <v>1110029</v>
      </c>
      <c r="E247" s="11"/>
      <c r="F247" s="11"/>
      <c r="G247" s="2"/>
      <c r="H247" s="11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x14ac:dyDescent="0.25" r="248" customHeight="1" ht="18">
      <c r="A248" s="2"/>
      <c r="B248" s="35"/>
      <c r="C248" s="44" t="s">
        <v>281</v>
      </c>
      <c r="D248" s="45">
        <v>1110030</v>
      </c>
      <c r="E248" s="11"/>
      <c r="F248" s="11"/>
      <c r="G248" s="2"/>
      <c r="H248" s="11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x14ac:dyDescent="0.25" r="249" customHeight="1" ht="18">
      <c r="A249" s="2"/>
      <c r="B249" s="35"/>
      <c r="C249" s="44" t="s">
        <v>282</v>
      </c>
      <c r="D249" s="45">
        <v>1110031</v>
      </c>
      <c r="E249" s="11"/>
      <c r="F249" s="11"/>
      <c r="G249" s="2"/>
      <c r="H249" s="11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x14ac:dyDescent="0.25" r="250" customHeight="1" ht="18">
      <c r="A250" s="2"/>
      <c r="B250" s="35"/>
      <c r="C250" s="44" t="s">
        <v>283</v>
      </c>
      <c r="D250" s="45">
        <v>105011</v>
      </c>
      <c r="E250" s="11"/>
      <c r="F250" s="11"/>
      <c r="G250" s="2"/>
      <c r="H250" s="11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x14ac:dyDescent="0.25" r="251" customHeight="1" ht="18">
      <c r="A251" s="2"/>
      <c r="B251" s="35"/>
      <c r="C251" s="44" t="s">
        <v>284</v>
      </c>
      <c r="D251" s="45">
        <v>105012</v>
      </c>
      <c r="E251" s="11"/>
      <c r="F251" s="11"/>
      <c r="G251" s="2"/>
      <c r="H251" s="11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x14ac:dyDescent="0.25" r="252" customHeight="1" ht="18">
      <c r="A252" s="2"/>
      <c r="B252" s="35"/>
      <c r="C252" s="44" t="s">
        <v>285</v>
      </c>
      <c r="D252" s="45">
        <v>105013</v>
      </c>
      <c r="E252" s="11"/>
      <c r="F252" s="11"/>
      <c r="G252" s="2"/>
      <c r="H252" s="11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x14ac:dyDescent="0.25" r="253" customHeight="1" ht="18">
      <c r="A253" s="2"/>
      <c r="B253" s="35"/>
      <c r="C253" s="44" t="s">
        <v>286</v>
      </c>
      <c r="D253" s="45">
        <v>105014</v>
      </c>
      <c r="E253" s="11"/>
      <c r="F253" s="11"/>
      <c r="G253" s="2"/>
      <c r="H253" s="11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x14ac:dyDescent="0.25" r="254" customHeight="1" ht="18">
      <c r="A254" s="2"/>
      <c r="B254" s="35"/>
      <c r="C254" s="44" t="s">
        <v>287</v>
      </c>
      <c r="D254" s="45">
        <v>105015</v>
      </c>
      <c r="E254" s="11"/>
      <c r="F254" s="11"/>
      <c r="G254" s="2"/>
      <c r="H254" s="11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x14ac:dyDescent="0.25" r="255" customHeight="1" ht="18">
      <c r="A255" s="2"/>
      <c r="B255" s="35"/>
      <c r="C255" s="44" t="s">
        <v>288</v>
      </c>
      <c r="D255" s="45">
        <v>105016</v>
      </c>
      <c r="E255" s="11"/>
      <c r="F255" s="11"/>
      <c r="G255" s="2"/>
      <c r="H255" s="11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x14ac:dyDescent="0.25" r="256" customHeight="1" ht="18">
      <c r="A256" s="2"/>
      <c r="B256" s="35"/>
      <c r="C256" s="44" t="s">
        <v>289</v>
      </c>
      <c r="D256" s="45">
        <v>105017</v>
      </c>
      <c r="E256" s="11"/>
      <c r="F256" s="11"/>
      <c r="G256" s="2"/>
      <c r="H256" s="11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x14ac:dyDescent="0.25" r="257" customHeight="1" ht="18">
      <c r="A257" s="2"/>
      <c r="B257" s="35"/>
      <c r="C257" s="44" t="s">
        <v>290</v>
      </c>
      <c r="D257" s="45">
        <v>105018</v>
      </c>
      <c r="E257" s="11"/>
      <c r="F257" s="11"/>
      <c r="G257" s="2"/>
      <c r="H257" s="11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x14ac:dyDescent="0.25" r="258" customHeight="1" ht="18">
      <c r="A258" s="2"/>
      <c r="B258" s="35"/>
      <c r="C258" s="44" t="s">
        <v>291</v>
      </c>
      <c r="D258" s="45">
        <v>105019</v>
      </c>
      <c r="E258" s="11"/>
      <c r="F258" s="11"/>
      <c r="G258" s="2"/>
      <c r="H258" s="11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x14ac:dyDescent="0.25" r="259" customHeight="1" ht="18">
      <c r="A259" s="2"/>
      <c r="B259" s="35"/>
      <c r="C259" s="44" t="s">
        <v>292</v>
      </c>
      <c r="D259" s="45">
        <v>113001</v>
      </c>
      <c r="E259" s="11"/>
      <c r="F259" s="11"/>
      <c r="G259" s="2"/>
      <c r="H259" s="11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x14ac:dyDescent="0.25" r="260" customHeight="1" ht="18">
      <c r="A260" s="2"/>
      <c r="B260" s="35"/>
      <c r="C260" s="44" t="s">
        <v>293</v>
      </c>
      <c r="D260" s="45">
        <v>113002</v>
      </c>
      <c r="E260" s="11"/>
      <c r="F260" s="11"/>
      <c r="G260" s="2"/>
      <c r="H260" s="11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x14ac:dyDescent="0.25" r="261" customHeight="1" ht="18">
      <c r="A261" s="2"/>
      <c r="B261" s="35"/>
      <c r="C261" s="44" t="s">
        <v>293</v>
      </c>
      <c r="D261" s="45">
        <v>113002</v>
      </c>
      <c r="E261" s="11"/>
      <c r="F261" s="11"/>
      <c r="G261" s="2"/>
      <c r="H261" s="11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x14ac:dyDescent="0.25" r="262" customHeight="1" ht="18">
      <c r="A262" s="2"/>
      <c r="B262" s="35"/>
      <c r="C262" s="44" t="s">
        <v>294</v>
      </c>
      <c r="D262" s="45">
        <v>113004</v>
      </c>
      <c r="E262" s="11"/>
      <c r="F262" s="11"/>
      <c r="G262" s="2"/>
      <c r="H262" s="11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x14ac:dyDescent="0.25" r="263" customHeight="1" ht="18">
      <c r="A263" s="2"/>
      <c r="B263" s="35"/>
      <c r="C263" s="44" t="s">
        <v>295</v>
      </c>
      <c r="D263" s="45">
        <v>113005</v>
      </c>
      <c r="E263" s="11"/>
      <c r="F263" s="11"/>
      <c r="G263" s="2"/>
      <c r="H263" s="11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x14ac:dyDescent="0.25" r="264" customHeight="1" ht="18">
      <c r="A264" s="2"/>
      <c r="B264" s="35"/>
      <c r="C264" s="44" t="s">
        <v>296</v>
      </c>
      <c r="D264" s="45">
        <v>114001</v>
      </c>
      <c r="E264" s="11"/>
      <c r="F264" s="11"/>
      <c r="G264" s="2"/>
      <c r="H264" s="11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x14ac:dyDescent="0.25" r="265" customHeight="1" ht="18">
      <c r="A265" s="2"/>
      <c r="B265" s="35"/>
      <c r="C265" s="44" t="s">
        <v>297</v>
      </c>
      <c r="D265" s="45">
        <v>114002</v>
      </c>
      <c r="E265" s="11"/>
      <c r="F265" s="11"/>
      <c r="G265" s="2"/>
      <c r="H265" s="11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x14ac:dyDescent="0.25" r="266" customHeight="1" ht="18">
      <c r="A266" s="2"/>
      <c r="B266" s="35"/>
      <c r="C266" s="44" t="s">
        <v>298</v>
      </c>
      <c r="D266" s="45">
        <v>114003</v>
      </c>
      <c r="E266" s="11"/>
      <c r="F266" s="11"/>
      <c r="G266" s="2"/>
      <c r="H266" s="11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x14ac:dyDescent="0.25" r="267" customHeight="1" ht="18">
      <c r="A267" s="2"/>
      <c r="B267" s="35"/>
      <c r="C267" s="44" t="s">
        <v>299</v>
      </c>
      <c r="D267" s="45">
        <v>114004</v>
      </c>
      <c r="E267" s="11"/>
      <c r="F267" s="11"/>
      <c r="G267" s="2"/>
      <c r="H267" s="11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x14ac:dyDescent="0.25" r="268" customHeight="1" ht="18">
      <c r="A268" s="2"/>
      <c r="B268" s="35"/>
      <c r="C268" s="44" t="s">
        <v>300</v>
      </c>
      <c r="D268" s="45">
        <v>114005</v>
      </c>
      <c r="E268" s="11"/>
      <c r="F268" s="11"/>
      <c r="G268" s="2"/>
      <c r="H268" s="11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x14ac:dyDescent="0.25" r="269" customHeight="1" ht="18">
      <c r="A269" s="2"/>
      <c r="B269" s="35"/>
      <c r="C269" s="44" t="s">
        <v>301</v>
      </c>
      <c r="D269" s="45">
        <v>114006</v>
      </c>
      <c r="E269" s="11"/>
      <c r="F269" s="11"/>
      <c r="G269" s="2"/>
      <c r="H269" s="11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x14ac:dyDescent="0.25" r="270" customHeight="1" ht="18">
      <c r="A270" s="2"/>
      <c r="B270" s="35"/>
      <c r="C270" s="44" t="s">
        <v>302</v>
      </c>
      <c r="D270" s="45">
        <v>114007</v>
      </c>
      <c r="E270" s="11"/>
      <c r="F270" s="11"/>
      <c r="G270" s="2"/>
      <c r="H270" s="11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x14ac:dyDescent="0.25" r="271" customHeight="1" ht="18">
      <c r="A271" s="2"/>
      <c r="B271" s="35"/>
      <c r="C271" s="44" t="s">
        <v>303</v>
      </c>
      <c r="D271" s="45">
        <v>114008</v>
      </c>
      <c r="E271" s="11"/>
      <c r="F271" s="11"/>
      <c r="G271" s="2"/>
      <c r="H271" s="11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x14ac:dyDescent="0.25" r="272" customHeight="1" ht="18">
      <c r="A272" s="2"/>
      <c r="B272" s="35"/>
      <c r="C272" s="44" t="s">
        <v>304</v>
      </c>
      <c r="D272" s="45">
        <v>114009</v>
      </c>
      <c r="E272" s="11"/>
      <c r="F272" s="11"/>
      <c r="G272" s="2"/>
      <c r="H272" s="11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x14ac:dyDescent="0.25" r="273" customHeight="1" ht="18">
      <c r="A273" s="2"/>
      <c r="B273" s="35"/>
      <c r="C273" s="44" t="s">
        <v>305</v>
      </c>
      <c r="D273" s="45">
        <v>1140010</v>
      </c>
      <c r="E273" s="11"/>
      <c r="F273" s="11"/>
      <c r="G273" s="2"/>
      <c r="H273" s="11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x14ac:dyDescent="0.25" r="274" customHeight="1" ht="18">
      <c r="A274" s="2"/>
      <c r="B274" s="35"/>
      <c r="C274" s="44" t="s">
        <v>306</v>
      </c>
      <c r="D274" s="45">
        <v>1140011</v>
      </c>
      <c r="E274" s="11"/>
      <c r="F274" s="11"/>
      <c r="G274" s="2"/>
      <c r="H274" s="11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x14ac:dyDescent="0.25" r="275" customHeight="1" ht="18">
      <c r="A275" s="2"/>
      <c r="B275" s="35"/>
      <c r="C275" s="44" t="s">
        <v>307</v>
      </c>
      <c r="D275" s="45">
        <v>115001</v>
      </c>
      <c r="E275" s="11"/>
      <c r="F275" s="11"/>
      <c r="G275" s="2"/>
      <c r="H275" s="11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x14ac:dyDescent="0.25" r="276" customHeight="1" ht="18">
      <c r="A276" s="2"/>
      <c r="B276" s="35"/>
      <c r="C276" s="44" t="s">
        <v>308</v>
      </c>
      <c r="D276" s="45">
        <v>115002</v>
      </c>
      <c r="E276" s="11"/>
      <c r="F276" s="11"/>
      <c r="G276" s="2"/>
      <c r="H276" s="11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x14ac:dyDescent="0.25" r="277" customHeight="1" ht="18">
      <c r="A277" s="2"/>
      <c r="B277" s="35"/>
      <c r="C277" s="44" t="s">
        <v>309</v>
      </c>
      <c r="D277" s="45">
        <v>115003</v>
      </c>
      <c r="E277" s="11"/>
      <c r="F277" s="11"/>
      <c r="G277" s="2"/>
      <c r="H277" s="11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x14ac:dyDescent="0.25" r="278" customHeight="1" ht="18">
      <c r="A278" s="2"/>
      <c r="B278" s="35"/>
      <c r="C278" s="44" t="s">
        <v>310</v>
      </c>
      <c r="D278" s="45">
        <v>115004</v>
      </c>
      <c r="E278" s="11"/>
      <c r="F278" s="11"/>
      <c r="G278" s="2"/>
      <c r="H278" s="11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x14ac:dyDescent="0.25" r="279" customHeight="1" ht="18">
      <c r="A279" s="2"/>
      <c r="B279" s="35"/>
      <c r="C279" s="44" t="s">
        <v>311</v>
      </c>
      <c r="D279" s="45">
        <v>115005</v>
      </c>
      <c r="E279" s="11"/>
      <c r="F279" s="11"/>
      <c r="G279" s="2"/>
      <c r="H279" s="11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x14ac:dyDescent="0.25" r="280" customHeight="1" ht="18">
      <c r="A280" s="2"/>
      <c r="B280" s="35"/>
      <c r="C280" s="44" t="s">
        <v>312</v>
      </c>
      <c r="D280" s="45">
        <v>115006</v>
      </c>
      <c r="E280" s="11"/>
      <c r="F280" s="11"/>
      <c r="G280" s="2"/>
      <c r="H280" s="11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x14ac:dyDescent="0.25" r="281" customHeight="1" ht="18">
      <c r="A281" s="2"/>
      <c r="B281" s="35"/>
      <c r="C281" s="44" t="s">
        <v>313</v>
      </c>
      <c r="D281" s="45">
        <v>115007</v>
      </c>
      <c r="E281" s="11"/>
      <c r="F281" s="11"/>
      <c r="G281" s="2"/>
      <c r="H281" s="11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x14ac:dyDescent="0.25" r="282" customHeight="1" ht="18">
      <c r="A282" s="2"/>
      <c r="B282" s="35"/>
      <c r="C282" s="44" t="s">
        <v>314</v>
      </c>
      <c r="D282" s="45">
        <v>115008</v>
      </c>
      <c r="E282" s="11"/>
      <c r="F282" s="11"/>
      <c r="G282" s="2"/>
      <c r="H282" s="11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x14ac:dyDescent="0.25" r="283" customHeight="1" ht="18">
      <c r="A283" s="2"/>
      <c r="B283" s="35"/>
      <c r="C283" s="44" t="s">
        <v>315</v>
      </c>
      <c r="D283" s="45">
        <v>115009</v>
      </c>
      <c r="E283" s="11"/>
      <c r="F283" s="11"/>
      <c r="G283" s="2"/>
      <c r="H283" s="11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x14ac:dyDescent="0.25" r="284" customHeight="1" ht="18">
      <c r="A284" s="2"/>
      <c r="B284" s="35"/>
      <c r="C284" s="44" t="s">
        <v>316</v>
      </c>
      <c r="D284" s="45">
        <v>1150010</v>
      </c>
      <c r="E284" s="11"/>
      <c r="F284" s="11"/>
      <c r="G284" s="2"/>
      <c r="H284" s="11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x14ac:dyDescent="0.25" r="285" customHeight="1" ht="18">
      <c r="A285" s="2"/>
      <c r="B285" s="35"/>
      <c r="C285" s="44" t="s">
        <v>317</v>
      </c>
      <c r="D285" s="45">
        <v>1150011</v>
      </c>
      <c r="E285" s="11"/>
      <c r="F285" s="11"/>
      <c r="G285" s="2"/>
      <c r="H285" s="11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x14ac:dyDescent="0.25" r="286" customHeight="1" ht="18">
      <c r="A286" s="2"/>
      <c r="B286" s="35"/>
      <c r="C286" s="44" t="s">
        <v>318</v>
      </c>
      <c r="D286" s="45">
        <v>1150012</v>
      </c>
      <c r="E286" s="11"/>
      <c r="F286" s="11"/>
      <c r="G286" s="2"/>
      <c r="H286" s="11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x14ac:dyDescent="0.25" r="287" customHeight="1" ht="18">
      <c r="A287" s="2"/>
      <c r="B287" s="35"/>
      <c r="C287" s="44" t="s">
        <v>319</v>
      </c>
      <c r="D287" s="45">
        <v>1150013</v>
      </c>
      <c r="E287" s="11"/>
      <c r="F287" s="11"/>
      <c r="G287" s="2"/>
      <c r="H287" s="11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x14ac:dyDescent="0.25" r="288" customHeight="1" ht="18">
      <c r="A288" s="2"/>
      <c r="B288" s="35"/>
      <c r="C288" s="44" t="s">
        <v>320</v>
      </c>
      <c r="D288" s="45">
        <v>116001</v>
      </c>
      <c r="E288" s="11"/>
      <c r="F288" s="11"/>
      <c r="G288" s="2"/>
      <c r="H288" s="11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x14ac:dyDescent="0.25" r="289" customHeight="1" ht="18">
      <c r="A289" s="2"/>
      <c r="B289" s="35"/>
      <c r="C289" s="44" t="s">
        <v>321</v>
      </c>
      <c r="D289" s="45">
        <v>116002</v>
      </c>
      <c r="E289" s="11"/>
      <c r="F289" s="11"/>
      <c r="G289" s="2"/>
      <c r="H289" s="11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x14ac:dyDescent="0.25" r="290" customHeight="1" ht="18">
      <c r="A290" s="2"/>
      <c r="B290" s="35"/>
      <c r="C290" s="44" t="s">
        <v>322</v>
      </c>
      <c r="D290" s="45">
        <v>116003</v>
      </c>
      <c r="E290" s="11"/>
      <c r="F290" s="11"/>
      <c r="G290" s="2"/>
      <c r="H290" s="11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x14ac:dyDescent="0.25" r="291" customHeight="1" ht="18">
      <c r="A291" s="2"/>
      <c r="B291" s="35"/>
      <c r="C291" s="44" t="s">
        <v>323</v>
      </c>
      <c r="D291" s="45">
        <v>116004</v>
      </c>
      <c r="E291" s="11"/>
      <c r="F291" s="11"/>
      <c r="G291" s="2"/>
      <c r="H291" s="11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x14ac:dyDescent="0.25" r="292" customHeight="1" ht="18">
      <c r="A292" s="2"/>
      <c r="B292" s="35"/>
      <c r="C292" s="44" t="s">
        <v>324</v>
      </c>
      <c r="D292" s="45">
        <v>116005</v>
      </c>
      <c r="E292" s="11"/>
      <c r="F292" s="11"/>
      <c r="G292" s="2"/>
      <c r="H292" s="11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x14ac:dyDescent="0.25" r="293" customHeight="1" ht="18">
      <c r="A293" s="2"/>
      <c r="B293" s="35"/>
      <c r="C293" s="44" t="s">
        <v>325</v>
      </c>
      <c r="D293" s="45">
        <v>116006</v>
      </c>
      <c r="E293" s="11"/>
      <c r="F293" s="11"/>
      <c r="G293" s="2"/>
      <c r="H293" s="11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x14ac:dyDescent="0.25" r="294" customHeight="1" ht="18">
      <c r="A294" s="2"/>
      <c r="B294" s="35"/>
      <c r="C294" s="44" t="s">
        <v>326</v>
      </c>
      <c r="D294" s="45">
        <v>116007</v>
      </c>
      <c r="E294" s="11"/>
      <c r="F294" s="11"/>
      <c r="G294" s="2"/>
      <c r="H294" s="11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x14ac:dyDescent="0.25" r="295" customHeight="1" ht="18">
      <c r="A295" s="2"/>
      <c r="B295" s="35"/>
      <c r="C295" s="44" t="s">
        <v>327</v>
      </c>
      <c r="D295" s="45">
        <v>116008</v>
      </c>
      <c r="E295" s="11"/>
      <c r="F295" s="11"/>
      <c r="G295" s="2"/>
      <c r="H295" s="11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x14ac:dyDescent="0.25" r="296" customHeight="1" ht="18">
      <c r="A296" s="2"/>
      <c r="B296" s="35"/>
      <c r="C296" s="44" t="s">
        <v>328</v>
      </c>
      <c r="D296" s="45">
        <v>116009</v>
      </c>
      <c r="E296" s="11"/>
      <c r="F296" s="11"/>
      <c r="G296" s="2"/>
      <c r="H296" s="11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x14ac:dyDescent="0.25" r="297" customHeight="1" ht="18">
      <c r="A297" s="2"/>
      <c r="B297" s="35"/>
      <c r="C297" s="44" t="s">
        <v>329</v>
      </c>
      <c r="D297" s="45">
        <v>1160010</v>
      </c>
      <c r="E297" s="11"/>
      <c r="F297" s="11"/>
      <c r="G297" s="2"/>
      <c r="H297" s="11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x14ac:dyDescent="0.25" r="298" customHeight="1" ht="18">
      <c r="A298" s="2"/>
      <c r="B298" s="35"/>
      <c r="C298" s="44" t="s">
        <v>330</v>
      </c>
      <c r="D298" s="45">
        <v>116011</v>
      </c>
      <c r="E298" s="11"/>
      <c r="F298" s="11"/>
      <c r="G298" s="2"/>
      <c r="H298" s="11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x14ac:dyDescent="0.25" r="299" customHeight="1" ht="18">
      <c r="A299" s="2"/>
      <c r="B299" s="35"/>
      <c r="C299" s="44" t="s">
        <v>331</v>
      </c>
      <c r="D299" s="45">
        <v>116012</v>
      </c>
      <c r="E299" s="11"/>
      <c r="F299" s="11"/>
      <c r="G299" s="2"/>
      <c r="H299" s="11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x14ac:dyDescent="0.25" r="300" customHeight="1" ht="18">
      <c r="A300" s="2"/>
      <c r="B300" s="35"/>
      <c r="C300" s="44" t="s">
        <v>332</v>
      </c>
      <c r="D300" s="45">
        <v>116013</v>
      </c>
      <c r="E300" s="11"/>
      <c r="F300" s="11"/>
      <c r="G300" s="2"/>
      <c r="H300" s="11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x14ac:dyDescent="0.25" r="301" customHeight="1" ht="18">
      <c r="A301" s="2"/>
      <c r="B301" s="35"/>
      <c r="C301" s="44" t="s">
        <v>333</v>
      </c>
      <c r="D301" s="45">
        <v>116014</v>
      </c>
      <c r="E301" s="11"/>
      <c r="F301" s="11"/>
      <c r="G301" s="2"/>
      <c r="H301" s="11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x14ac:dyDescent="0.25" r="302" customHeight="1" ht="18">
      <c r="A302" s="2"/>
      <c r="B302" s="35"/>
      <c r="C302" s="44" t="s">
        <v>334</v>
      </c>
      <c r="D302" s="45">
        <v>116015</v>
      </c>
      <c r="E302" s="11"/>
      <c r="F302" s="11"/>
      <c r="G302" s="2"/>
      <c r="H302" s="11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x14ac:dyDescent="0.25" r="303" customHeight="1" ht="18">
      <c r="A303" s="2"/>
      <c r="B303" s="35"/>
      <c r="C303" s="44" t="s">
        <v>335</v>
      </c>
      <c r="D303" s="45">
        <v>116016</v>
      </c>
      <c r="E303" s="11"/>
      <c r="F303" s="11"/>
      <c r="G303" s="2"/>
      <c r="H303" s="11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x14ac:dyDescent="0.25" r="304" customHeight="1" ht="18">
      <c r="A304" s="2"/>
      <c r="B304" s="35"/>
      <c r="C304" s="44" t="s">
        <v>336</v>
      </c>
      <c r="D304" s="45">
        <v>116017</v>
      </c>
      <c r="E304" s="11"/>
      <c r="F304" s="11"/>
      <c r="G304" s="2"/>
      <c r="H304" s="11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x14ac:dyDescent="0.25" r="305" customHeight="1" ht="18">
      <c r="A305" s="2"/>
      <c r="B305" s="35"/>
      <c r="C305" s="44" t="s">
        <v>337</v>
      </c>
      <c r="D305" s="45">
        <v>116018</v>
      </c>
      <c r="E305" s="11"/>
      <c r="F305" s="11"/>
      <c r="G305" s="2"/>
      <c r="H305" s="11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x14ac:dyDescent="0.25" r="306" customHeight="1" ht="18">
      <c r="A306" s="2"/>
      <c r="B306" s="35"/>
      <c r="C306" s="44" t="s">
        <v>338</v>
      </c>
      <c r="D306" s="45">
        <v>116019</v>
      </c>
      <c r="E306" s="11"/>
      <c r="F306" s="11"/>
      <c r="G306" s="2"/>
      <c r="H306" s="11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x14ac:dyDescent="0.25" r="307" customHeight="1" ht="18">
      <c r="A307" s="2"/>
      <c r="B307" s="35"/>
      <c r="C307" s="44" t="s">
        <v>339</v>
      </c>
      <c r="D307" s="45">
        <v>1160110</v>
      </c>
      <c r="E307" s="11"/>
      <c r="F307" s="11"/>
      <c r="G307" s="2"/>
      <c r="H307" s="11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x14ac:dyDescent="0.25" r="308" customHeight="1" ht="18">
      <c r="A308" s="2"/>
      <c r="B308" s="35"/>
      <c r="C308" s="44" t="s">
        <v>340</v>
      </c>
      <c r="D308" s="45">
        <v>117001</v>
      </c>
      <c r="E308" s="11"/>
      <c r="F308" s="11"/>
      <c r="G308" s="2"/>
      <c r="H308" s="11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x14ac:dyDescent="0.25" r="309" customHeight="1" ht="18">
      <c r="A309" s="2"/>
      <c r="B309" s="35"/>
      <c r="C309" s="44" t="s">
        <v>341</v>
      </c>
      <c r="D309" s="45">
        <v>117002</v>
      </c>
      <c r="E309" s="11"/>
      <c r="F309" s="11"/>
      <c r="G309" s="2"/>
      <c r="H309" s="11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x14ac:dyDescent="0.25" r="310" customHeight="1" ht="18">
      <c r="A310" s="2"/>
      <c r="B310" s="35"/>
      <c r="C310" s="44" t="s">
        <v>342</v>
      </c>
      <c r="D310" s="45">
        <v>117003</v>
      </c>
      <c r="E310" s="11"/>
      <c r="F310" s="11"/>
      <c r="G310" s="2"/>
      <c r="H310" s="11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x14ac:dyDescent="0.25" r="311" customHeight="1" ht="18">
      <c r="A311" s="2"/>
      <c r="B311" s="35"/>
      <c r="C311" s="44" t="s">
        <v>343</v>
      </c>
      <c r="D311" s="45">
        <v>117005</v>
      </c>
      <c r="E311" s="11"/>
      <c r="F311" s="11"/>
      <c r="G311" s="2"/>
      <c r="H311" s="11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x14ac:dyDescent="0.25" r="312" customHeight="1" ht="18">
      <c r="A312" s="2"/>
      <c r="B312" s="35"/>
      <c r="C312" s="44" t="s">
        <v>344</v>
      </c>
      <c r="D312" s="45">
        <v>117006</v>
      </c>
      <c r="E312" s="11"/>
      <c r="F312" s="11"/>
      <c r="G312" s="2"/>
      <c r="H312" s="11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x14ac:dyDescent="0.25" r="313" customHeight="1" ht="18">
      <c r="A313" s="2"/>
      <c r="B313" s="35"/>
      <c r="C313" s="44" t="s">
        <v>345</v>
      </c>
      <c r="D313" s="45">
        <v>117007</v>
      </c>
      <c r="E313" s="11"/>
      <c r="F313" s="11"/>
      <c r="G313" s="2"/>
      <c r="H313" s="11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x14ac:dyDescent="0.25" r="314" customHeight="1" ht="18">
      <c r="A314" s="2"/>
      <c r="B314" s="35"/>
      <c r="C314" s="44" t="s">
        <v>346</v>
      </c>
      <c r="D314" s="45">
        <v>117008</v>
      </c>
      <c r="E314" s="11"/>
      <c r="F314" s="11"/>
      <c r="G314" s="2"/>
      <c r="H314" s="11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x14ac:dyDescent="0.25" r="315" customHeight="1" ht="18">
      <c r="A315" s="2"/>
      <c r="B315" s="35"/>
      <c r="C315" s="44" t="s">
        <v>347</v>
      </c>
      <c r="D315" s="45">
        <v>117009</v>
      </c>
      <c r="E315" s="11"/>
      <c r="F315" s="11"/>
      <c r="G315" s="2"/>
      <c r="H315" s="11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x14ac:dyDescent="0.25" r="316" customHeight="1" ht="18">
      <c r="A316" s="2"/>
      <c r="B316" s="35"/>
      <c r="C316" s="44" t="s">
        <v>348</v>
      </c>
      <c r="D316" s="45">
        <v>118001</v>
      </c>
      <c r="E316" s="11"/>
      <c r="F316" s="11"/>
      <c r="G316" s="2"/>
      <c r="H316" s="11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x14ac:dyDescent="0.25" r="317" customHeight="1" ht="18">
      <c r="A317" s="2"/>
      <c r="B317" s="35"/>
      <c r="C317" s="44" t="s">
        <v>349</v>
      </c>
      <c r="D317" s="45">
        <v>118002</v>
      </c>
      <c r="E317" s="11"/>
      <c r="F317" s="11"/>
      <c r="G317" s="2"/>
      <c r="H317" s="11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x14ac:dyDescent="0.25" r="318" customHeight="1" ht="18">
      <c r="A318" s="2"/>
      <c r="B318" s="35"/>
      <c r="C318" s="44" t="s">
        <v>350</v>
      </c>
      <c r="D318" s="45">
        <v>118003</v>
      </c>
      <c r="E318" s="11"/>
      <c r="F318" s="11"/>
      <c r="G318" s="2"/>
      <c r="H318" s="11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x14ac:dyDescent="0.25" r="319" customHeight="1" ht="18">
      <c r="A319" s="2"/>
      <c r="B319" s="35"/>
      <c r="C319" s="44" t="s">
        <v>351</v>
      </c>
      <c r="D319" s="45">
        <v>118004</v>
      </c>
      <c r="E319" s="11"/>
      <c r="F319" s="11"/>
      <c r="G319" s="2"/>
      <c r="H319" s="11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x14ac:dyDescent="0.25" r="320" customHeight="1" ht="18">
      <c r="A320" s="2"/>
      <c r="B320" s="35"/>
      <c r="C320" s="44" t="s">
        <v>352</v>
      </c>
      <c r="D320" s="45">
        <v>118005</v>
      </c>
      <c r="E320" s="11"/>
      <c r="F320" s="11"/>
      <c r="G320" s="2"/>
      <c r="H320" s="11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x14ac:dyDescent="0.25" r="321" customHeight="1" ht="18">
      <c r="A321" s="2"/>
      <c r="B321" s="35"/>
      <c r="C321" s="44" t="s">
        <v>353</v>
      </c>
      <c r="D321" s="45">
        <v>118006</v>
      </c>
      <c r="E321" s="11"/>
      <c r="F321" s="11"/>
      <c r="G321" s="2"/>
      <c r="H321" s="11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x14ac:dyDescent="0.25" r="322" customHeight="1" ht="18">
      <c r="A322" s="2"/>
      <c r="B322" s="35"/>
      <c r="C322" s="44" t="s">
        <v>354</v>
      </c>
      <c r="D322" s="45">
        <v>118007</v>
      </c>
      <c r="E322" s="11"/>
      <c r="F322" s="11"/>
      <c r="G322" s="2"/>
      <c r="H322" s="11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x14ac:dyDescent="0.25" r="323" customHeight="1" ht="18">
      <c r="A323" s="2"/>
      <c r="B323" s="35"/>
      <c r="C323" s="44" t="s">
        <v>355</v>
      </c>
      <c r="D323" s="45">
        <v>118008</v>
      </c>
      <c r="E323" s="11"/>
      <c r="F323" s="11"/>
      <c r="G323" s="2"/>
      <c r="H323" s="11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x14ac:dyDescent="0.25" r="324" customHeight="1" ht="18">
      <c r="A324" s="2"/>
      <c r="B324" s="35"/>
      <c r="C324" s="44" t="s">
        <v>356</v>
      </c>
      <c r="D324" s="45">
        <v>118009</v>
      </c>
      <c r="E324" s="11"/>
      <c r="F324" s="11"/>
      <c r="G324" s="2"/>
      <c r="H324" s="11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x14ac:dyDescent="0.25" r="325" customHeight="1" ht="18">
      <c r="A325" s="2"/>
      <c r="B325" s="35"/>
      <c r="C325" s="44" t="s">
        <v>357</v>
      </c>
      <c r="D325" s="45">
        <v>1180010</v>
      </c>
      <c r="E325" s="11"/>
      <c r="F325" s="11"/>
      <c r="G325" s="2"/>
      <c r="H325" s="11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x14ac:dyDescent="0.25" r="326" customHeight="1" ht="18">
      <c r="A326" s="2"/>
      <c r="B326" s="35"/>
      <c r="C326" s="44" t="s">
        <v>358</v>
      </c>
      <c r="D326" s="45">
        <v>1180011</v>
      </c>
      <c r="E326" s="11"/>
      <c r="F326" s="11"/>
      <c r="G326" s="2"/>
      <c r="H326" s="11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x14ac:dyDescent="0.25" r="327" customHeight="1" ht="18">
      <c r="A327" s="2"/>
      <c r="B327" s="35"/>
      <c r="C327" s="44" t="s">
        <v>359</v>
      </c>
      <c r="D327" s="45">
        <v>1180012</v>
      </c>
      <c r="E327" s="11"/>
      <c r="F327" s="11"/>
      <c r="G327" s="2"/>
      <c r="H327" s="11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x14ac:dyDescent="0.25" r="328" customHeight="1" ht="18">
      <c r="A328" s="2"/>
      <c r="B328" s="35"/>
      <c r="C328" s="44" t="s">
        <v>360</v>
      </c>
      <c r="D328" s="45">
        <v>1180013</v>
      </c>
      <c r="E328" s="11"/>
      <c r="F328" s="11"/>
      <c r="G328" s="2"/>
      <c r="H328" s="11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x14ac:dyDescent="0.25" r="329" customHeight="1" ht="18">
      <c r="A329" s="2"/>
      <c r="B329" s="35"/>
      <c r="C329" s="44" t="s">
        <v>361</v>
      </c>
      <c r="D329" s="45">
        <v>119001</v>
      </c>
      <c r="E329" s="11"/>
      <c r="F329" s="11"/>
      <c r="G329" s="2"/>
      <c r="H329" s="11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x14ac:dyDescent="0.25" r="330" customHeight="1" ht="18">
      <c r="A330" s="2"/>
      <c r="B330" s="35"/>
      <c r="C330" s="44" t="s">
        <v>362</v>
      </c>
      <c r="D330" s="45">
        <v>119002</v>
      </c>
      <c r="E330" s="11"/>
      <c r="F330" s="11"/>
      <c r="G330" s="2"/>
      <c r="H330" s="11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x14ac:dyDescent="0.25" r="331" customHeight="1" ht="18">
      <c r="A331" s="2"/>
      <c r="B331" s="35"/>
      <c r="C331" s="44" t="s">
        <v>363</v>
      </c>
      <c r="D331" s="45">
        <v>119003</v>
      </c>
      <c r="E331" s="11"/>
      <c r="F331" s="11"/>
      <c r="G331" s="2"/>
      <c r="H331" s="11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x14ac:dyDescent="0.25" r="332" customHeight="1" ht="18">
      <c r="A332" s="2"/>
      <c r="B332" s="35"/>
      <c r="C332" s="44" t="s">
        <v>364</v>
      </c>
      <c r="D332" s="45">
        <v>119004</v>
      </c>
      <c r="E332" s="11"/>
      <c r="F332" s="11"/>
      <c r="G332" s="2"/>
      <c r="H332" s="11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x14ac:dyDescent="0.25" r="333" customHeight="1" ht="18">
      <c r="A333" s="2"/>
      <c r="B333" s="35"/>
      <c r="C333" s="44" t="s">
        <v>365</v>
      </c>
      <c r="D333" s="45">
        <v>119005</v>
      </c>
      <c r="E333" s="11"/>
      <c r="F333" s="11"/>
      <c r="G333" s="2"/>
      <c r="H333" s="11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x14ac:dyDescent="0.25" r="334" customHeight="1" ht="18">
      <c r="A334" s="2"/>
      <c r="B334" s="35"/>
      <c r="C334" s="44" t="s">
        <v>366</v>
      </c>
      <c r="D334" s="45">
        <v>119006</v>
      </c>
      <c r="E334" s="11"/>
      <c r="F334" s="11"/>
      <c r="G334" s="2"/>
      <c r="H334" s="11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x14ac:dyDescent="0.25" r="335" customHeight="1" ht="18">
      <c r="A335" s="2"/>
      <c r="B335" s="35"/>
      <c r="C335" s="44" t="s">
        <v>367</v>
      </c>
      <c r="D335" s="45">
        <v>120001</v>
      </c>
      <c r="E335" s="11"/>
      <c r="F335" s="11"/>
      <c r="G335" s="2"/>
      <c r="H335" s="11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x14ac:dyDescent="0.25" r="336" customHeight="1" ht="18">
      <c r="A336" s="2"/>
      <c r="B336" s="35"/>
      <c r="C336" s="44" t="s">
        <v>368</v>
      </c>
      <c r="D336" s="45">
        <v>120002</v>
      </c>
      <c r="E336" s="11"/>
      <c r="F336" s="11"/>
      <c r="G336" s="2"/>
      <c r="H336" s="11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x14ac:dyDescent="0.25" r="337" customHeight="1" ht="18">
      <c r="A337" s="2"/>
      <c r="B337" s="35"/>
      <c r="C337" s="44" t="s">
        <v>369</v>
      </c>
      <c r="D337" s="45">
        <v>120003</v>
      </c>
      <c r="E337" s="11"/>
      <c r="F337" s="11"/>
      <c r="G337" s="2"/>
      <c r="H337" s="11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x14ac:dyDescent="0.25" r="338" customHeight="1" ht="18">
      <c r="A338" s="2"/>
      <c r="B338" s="35"/>
      <c r="C338" s="44" t="s">
        <v>370</v>
      </c>
      <c r="D338" s="45">
        <v>121021</v>
      </c>
      <c r="E338" s="11"/>
      <c r="F338" s="11"/>
      <c r="G338" s="2"/>
      <c r="H338" s="11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x14ac:dyDescent="0.25" r="339" customHeight="1" ht="18">
      <c r="A339" s="2"/>
      <c r="B339" s="35"/>
      <c r="C339" s="44" t="s">
        <v>371</v>
      </c>
      <c r="D339" s="45">
        <v>121022</v>
      </c>
      <c r="E339" s="11"/>
      <c r="F339" s="11"/>
      <c r="G339" s="2"/>
      <c r="H339" s="11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x14ac:dyDescent="0.25" r="340" customHeight="1" ht="18">
      <c r="A340" s="2"/>
      <c r="B340" s="35"/>
      <c r="C340" s="44" t="s">
        <v>372</v>
      </c>
      <c r="D340" s="45">
        <v>121023</v>
      </c>
      <c r="E340" s="11"/>
      <c r="F340" s="11"/>
      <c r="G340" s="2"/>
      <c r="H340" s="11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x14ac:dyDescent="0.25" r="341" customHeight="1" ht="18">
      <c r="A341" s="2"/>
      <c r="B341" s="35"/>
      <c r="C341" s="44" t="s">
        <v>373</v>
      </c>
      <c r="D341" s="45">
        <v>121024</v>
      </c>
      <c r="E341" s="11"/>
      <c r="F341" s="11"/>
      <c r="G341" s="2"/>
      <c r="H341" s="11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x14ac:dyDescent="0.25" r="342" customHeight="1" ht="18">
      <c r="A342" s="2"/>
      <c r="B342" s="35"/>
      <c r="C342" s="44" t="s">
        <v>374</v>
      </c>
      <c r="D342" s="45">
        <v>121025</v>
      </c>
      <c r="E342" s="11"/>
      <c r="F342" s="11"/>
      <c r="G342" s="2"/>
      <c r="H342" s="11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x14ac:dyDescent="0.25" r="343" customHeight="1" ht="18">
      <c r="A343" s="2"/>
      <c r="B343" s="35"/>
      <c r="C343" s="44" t="s">
        <v>375</v>
      </c>
      <c r="D343" s="45">
        <v>121026</v>
      </c>
      <c r="E343" s="11"/>
      <c r="F343" s="11"/>
      <c r="G343" s="2"/>
      <c r="H343" s="11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x14ac:dyDescent="0.25" r="344" customHeight="1" ht="18">
      <c r="A344" s="2"/>
      <c r="B344" s="35"/>
      <c r="C344" s="44" t="s">
        <v>376</v>
      </c>
      <c r="D344" s="45">
        <v>121027</v>
      </c>
      <c r="E344" s="11"/>
      <c r="F344" s="11"/>
      <c r="G344" s="2"/>
      <c r="H344" s="11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x14ac:dyDescent="0.25" r="345" customHeight="1" ht="18">
      <c r="A345" s="2"/>
      <c r="B345" s="35"/>
      <c r="C345" s="44" t="s">
        <v>377</v>
      </c>
      <c r="D345" s="45">
        <v>121031</v>
      </c>
      <c r="E345" s="11"/>
      <c r="F345" s="11"/>
      <c r="G345" s="2"/>
      <c r="H345" s="11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x14ac:dyDescent="0.25" r="346" customHeight="1" ht="18">
      <c r="A346" s="2"/>
      <c r="B346" s="35"/>
      <c r="C346" s="44" t="s">
        <v>378</v>
      </c>
      <c r="D346" s="45">
        <v>121032</v>
      </c>
      <c r="E346" s="11"/>
      <c r="F346" s="11"/>
      <c r="G346" s="2"/>
      <c r="H346" s="11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x14ac:dyDescent="0.25" r="347" customHeight="1" ht="18">
      <c r="A347" s="2"/>
      <c r="B347" s="35"/>
      <c r="C347" s="44" t="s">
        <v>379</v>
      </c>
      <c r="D347" s="45">
        <v>121033</v>
      </c>
      <c r="E347" s="11"/>
      <c r="F347" s="11"/>
      <c r="G347" s="2"/>
      <c r="H347" s="11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x14ac:dyDescent="0.25" r="348" customHeight="1" ht="18">
      <c r="A348" s="2"/>
      <c r="B348" s="35"/>
      <c r="C348" s="44" t="s">
        <v>380</v>
      </c>
      <c r="D348" s="45">
        <v>121034</v>
      </c>
      <c r="E348" s="11"/>
      <c r="F348" s="11"/>
      <c r="G348" s="2"/>
      <c r="H348" s="11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x14ac:dyDescent="0.25" r="349" customHeight="1" ht="18">
      <c r="A349" s="2"/>
      <c r="B349" s="35"/>
      <c r="C349" s="44" t="s">
        <v>381</v>
      </c>
      <c r="D349" s="45">
        <v>121035</v>
      </c>
      <c r="E349" s="11"/>
      <c r="F349" s="11"/>
      <c r="G349" s="2"/>
      <c r="H349" s="11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x14ac:dyDescent="0.25" r="350" customHeight="1" ht="18">
      <c r="A350" s="2"/>
      <c r="B350" s="35"/>
      <c r="C350" s="44" t="s">
        <v>382</v>
      </c>
      <c r="D350" s="45">
        <v>121036</v>
      </c>
      <c r="E350" s="11"/>
      <c r="F350" s="11"/>
      <c r="G350" s="2"/>
      <c r="H350" s="11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x14ac:dyDescent="0.25" r="351" customHeight="1" ht="18">
      <c r="A351" s="2"/>
      <c r="B351" s="35"/>
      <c r="C351" s="44" t="s">
        <v>383</v>
      </c>
      <c r="D351" s="45">
        <v>121037</v>
      </c>
      <c r="E351" s="11"/>
      <c r="F351" s="11"/>
      <c r="G351" s="2"/>
      <c r="H351" s="11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x14ac:dyDescent="0.25" r="352" customHeight="1" ht="18">
      <c r="A352" s="2"/>
      <c r="B352" s="35"/>
      <c r="C352" s="44" t="s">
        <v>384</v>
      </c>
      <c r="D352" s="45">
        <v>121011</v>
      </c>
      <c r="E352" s="11"/>
      <c r="F352" s="11"/>
      <c r="G352" s="2"/>
      <c r="H352" s="11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x14ac:dyDescent="0.25" r="353" customHeight="1" ht="18">
      <c r="A353" s="2"/>
      <c r="B353" s="35"/>
      <c r="C353" s="44" t="s">
        <v>385</v>
      </c>
      <c r="D353" s="45">
        <v>121012</v>
      </c>
      <c r="E353" s="11"/>
      <c r="F353" s="11"/>
      <c r="G353" s="2"/>
      <c r="H353" s="11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x14ac:dyDescent="0.25" r="354" customHeight="1" ht="18">
      <c r="A354" s="2"/>
      <c r="B354" s="35"/>
      <c r="C354" s="44" t="s">
        <v>386</v>
      </c>
      <c r="D354" s="45">
        <v>121013</v>
      </c>
      <c r="E354" s="11"/>
      <c r="F354" s="11"/>
      <c r="G354" s="2"/>
      <c r="H354" s="11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x14ac:dyDescent="0.25" r="355" customHeight="1" ht="18">
      <c r="A355" s="2"/>
      <c r="B355" s="35"/>
      <c r="C355" s="44" t="s">
        <v>387</v>
      </c>
      <c r="D355" s="45">
        <v>121014</v>
      </c>
      <c r="E355" s="11"/>
      <c r="F355" s="11"/>
      <c r="G355" s="2"/>
      <c r="H355" s="11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x14ac:dyDescent="0.25" r="356" customHeight="1" ht="18">
      <c r="A356" s="2"/>
      <c r="B356" s="35"/>
      <c r="C356" s="44" t="s">
        <v>388</v>
      </c>
      <c r="D356" s="45">
        <v>122001</v>
      </c>
      <c r="E356" s="11"/>
      <c r="F356" s="11"/>
      <c r="G356" s="2"/>
      <c r="H356" s="11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x14ac:dyDescent="0.25" r="357" customHeight="1" ht="18">
      <c r="A357" s="2"/>
      <c r="B357" s="35"/>
      <c r="C357" s="44" t="s">
        <v>389</v>
      </c>
      <c r="D357" s="45">
        <v>122002</v>
      </c>
      <c r="E357" s="11"/>
      <c r="F357" s="11"/>
      <c r="G357" s="2"/>
      <c r="H357" s="11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x14ac:dyDescent="0.25" r="358" customHeight="1" ht="18">
      <c r="A358" s="2"/>
      <c r="B358" s="35"/>
      <c r="C358" s="44" t="s">
        <v>390</v>
      </c>
      <c r="D358" s="45">
        <v>122003</v>
      </c>
      <c r="E358" s="11"/>
      <c r="F358" s="11"/>
      <c r="G358" s="2"/>
      <c r="H358" s="11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x14ac:dyDescent="0.25" r="359" customHeight="1" ht="18">
      <c r="A359" s="2"/>
      <c r="B359" s="35"/>
      <c r="C359" s="44" t="s">
        <v>391</v>
      </c>
      <c r="D359" s="45">
        <v>122004</v>
      </c>
      <c r="E359" s="11"/>
      <c r="F359" s="11"/>
      <c r="G359" s="2"/>
      <c r="H359" s="11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x14ac:dyDescent="0.25" r="360" customHeight="1" ht="18">
      <c r="A360" s="2"/>
      <c r="B360" s="35"/>
      <c r="C360" s="44" t="s">
        <v>392</v>
      </c>
      <c r="D360" s="45">
        <v>122005</v>
      </c>
      <c r="E360" s="11"/>
      <c r="F360" s="11"/>
      <c r="G360" s="2"/>
      <c r="H360" s="11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x14ac:dyDescent="0.25" r="361" customHeight="1" ht="18">
      <c r="A361" s="2"/>
      <c r="B361" s="35"/>
      <c r="C361" s="44" t="s">
        <v>393</v>
      </c>
      <c r="D361" s="45">
        <v>122007</v>
      </c>
      <c r="E361" s="11"/>
      <c r="F361" s="11"/>
      <c r="G361" s="2"/>
      <c r="H361" s="11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x14ac:dyDescent="0.25" r="362" customHeight="1" ht="18">
      <c r="A362" s="2"/>
      <c r="B362" s="35"/>
      <c r="C362" s="44" t="s">
        <v>394</v>
      </c>
      <c r="D362" s="45">
        <v>122008</v>
      </c>
      <c r="E362" s="11"/>
      <c r="F362" s="11"/>
      <c r="G362" s="2"/>
      <c r="H362" s="11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x14ac:dyDescent="0.25" r="363" customHeight="1" ht="18">
      <c r="A363" s="2"/>
      <c r="B363" s="35"/>
      <c r="C363" s="44" t="s">
        <v>395</v>
      </c>
      <c r="D363" s="45">
        <v>122009</v>
      </c>
      <c r="E363" s="11"/>
      <c r="F363" s="11"/>
      <c r="G363" s="2"/>
      <c r="H363" s="11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x14ac:dyDescent="0.25" r="364" customHeight="1" ht="18">
      <c r="A364" s="2"/>
      <c r="B364" s="35"/>
      <c r="C364" s="44" t="s">
        <v>396</v>
      </c>
      <c r="D364" s="45">
        <v>1220010</v>
      </c>
      <c r="E364" s="11"/>
      <c r="F364" s="11"/>
      <c r="G364" s="2"/>
      <c r="H364" s="11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x14ac:dyDescent="0.25" r="365" customHeight="1" ht="18">
      <c r="A365" s="2"/>
      <c r="B365" s="35"/>
      <c r="C365" s="44" t="s">
        <v>397</v>
      </c>
      <c r="D365" s="45">
        <v>1220011</v>
      </c>
      <c r="E365" s="11"/>
      <c r="F365" s="11"/>
      <c r="G365" s="2"/>
      <c r="H365" s="11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x14ac:dyDescent="0.25" r="366" customHeight="1" ht="18">
      <c r="A366" s="2"/>
      <c r="B366" s="35"/>
      <c r="C366" s="44" t="s">
        <v>398</v>
      </c>
      <c r="D366" s="45">
        <v>1220012</v>
      </c>
      <c r="E366" s="11"/>
      <c r="F366" s="11"/>
      <c r="G366" s="2"/>
      <c r="H366" s="11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x14ac:dyDescent="0.25" r="367" customHeight="1" ht="18">
      <c r="A367" s="2"/>
      <c r="B367" s="35"/>
      <c r="C367" s="44" t="s">
        <v>399</v>
      </c>
      <c r="D367" s="45">
        <v>1220014</v>
      </c>
      <c r="E367" s="11"/>
      <c r="F367" s="11"/>
      <c r="G367" s="2"/>
      <c r="H367" s="11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x14ac:dyDescent="0.25" r="368" customHeight="1" ht="18">
      <c r="A368" s="2"/>
      <c r="B368" s="35"/>
      <c r="C368" s="44" t="s">
        <v>400</v>
      </c>
      <c r="D368" s="45">
        <v>1220013</v>
      </c>
      <c r="E368" s="11"/>
      <c r="F368" s="11"/>
      <c r="G368" s="2"/>
      <c r="H368" s="11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x14ac:dyDescent="0.25" r="369" customHeight="1" ht="18">
      <c r="A369" s="2"/>
      <c r="B369" s="35"/>
      <c r="C369" s="44" t="s">
        <v>401</v>
      </c>
      <c r="D369" s="45">
        <v>1220015</v>
      </c>
      <c r="E369" s="11"/>
      <c r="F369" s="11"/>
      <c r="G369" s="2"/>
      <c r="H369" s="11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x14ac:dyDescent="0.25" r="370" customHeight="1" ht="18">
      <c r="A370" s="2"/>
      <c r="B370" s="35"/>
      <c r="C370" s="44" t="s">
        <v>402</v>
      </c>
      <c r="D370" s="45">
        <v>1220016</v>
      </c>
      <c r="E370" s="11"/>
      <c r="F370" s="11"/>
      <c r="G370" s="2"/>
      <c r="H370" s="11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x14ac:dyDescent="0.25" r="371" customHeight="1" ht="18">
      <c r="A371" s="2"/>
      <c r="B371" s="35"/>
      <c r="C371" s="44" t="s">
        <v>403</v>
      </c>
      <c r="D371" s="45">
        <v>1220017</v>
      </c>
      <c r="E371" s="11"/>
      <c r="F371" s="11"/>
      <c r="G371" s="2"/>
      <c r="H371" s="11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x14ac:dyDescent="0.25" r="372" customHeight="1" ht="18">
      <c r="A372" s="2"/>
      <c r="B372" s="35"/>
      <c r="C372" s="44" t="s">
        <v>404</v>
      </c>
      <c r="D372" s="45">
        <v>123001</v>
      </c>
      <c r="E372" s="11"/>
      <c r="F372" s="11"/>
      <c r="G372" s="2"/>
      <c r="H372" s="11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x14ac:dyDescent="0.25" r="373" customHeight="1" ht="18">
      <c r="A373" s="2"/>
      <c r="B373" s="35"/>
      <c r="C373" s="44" t="s">
        <v>405</v>
      </c>
      <c r="D373" s="45">
        <v>123002</v>
      </c>
      <c r="E373" s="11"/>
      <c r="F373" s="11"/>
      <c r="G373" s="2"/>
      <c r="H373" s="11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x14ac:dyDescent="0.25" r="374" customHeight="1" ht="18">
      <c r="A374" s="2"/>
      <c r="B374" s="35"/>
      <c r="C374" s="44" t="s">
        <v>406</v>
      </c>
      <c r="D374" s="45">
        <v>123003</v>
      </c>
      <c r="E374" s="11"/>
      <c r="F374" s="11"/>
      <c r="G374" s="2"/>
      <c r="H374" s="11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x14ac:dyDescent="0.25" r="375" customHeight="1" ht="18">
      <c r="A375" s="2"/>
      <c r="B375" s="35"/>
      <c r="C375" s="44" t="s">
        <v>407</v>
      </c>
      <c r="D375" s="45">
        <v>123004</v>
      </c>
      <c r="E375" s="11"/>
      <c r="F375" s="11"/>
      <c r="G375" s="2"/>
      <c r="H375" s="11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x14ac:dyDescent="0.25" r="376" customHeight="1" ht="18">
      <c r="A376" s="2"/>
      <c r="B376" s="35"/>
      <c r="C376" s="44" t="s">
        <v>408</v>
      </c>
      <c r="D376" s="45">
        <v>123005</v>
      </c>
      <c r="E376" s="11"/>
      <c r="F376" s="11"/>
      <c r="G376" s="2"/>
      <c r="H376" s="11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x14ac:dyDescent="0.25" r="377" customHeight="1" ht="18">
      <c r="A377" s="2"/>
      <c r="B377" s="35"/>
      <c r="C377" s="44" t="s">
        <v>409</v>
      </c>
      <c r="D377" s="45">
        <v>123006</v>
      </c>
      <c r="E377" s="11"/>
      <c r="F377" s="11"/>
      <c r="G377" s="2"/>
      <c r="H377" s="11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x14ac:dyDescent="0.25" r="378" customHeight="1" ht="18">
      <c r="A378" s="2"/>
      <c r="B378" s="35"/>
      <c r="C378" s="44" t="s">
        <v>410</v>
      </c>
      <c r="D378" s="45">
        <v>901001</v>
      </c>
      <c r="E378" s="11"/>
      <c r="F378" s="11"/>
      <c r="G378" s="2"/>
      <c r="H378" s="11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x14ac:dyDescent="0.25" r="379" customHeight="1" ht="18">
      <c r="A379" s="2"/>
      <c r="B379" s="35"/>
      <c r="C379" s="44" t="s">
        <v>411</v>
      </c>
      <c r="D379" s="45">
        <v>901002</v>
      </c>
      <c r="E379" s="11"/>
      <c r="F379" s="11"/>
      <c r="G379" s="2"/>
      <c r="H379" s="11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x14ac:dyDescent="0.25" r="380" customHeight="1" ht="18">
      <c r="A380" s="2"/>
      <c r="B380" s="35"/>
      <c r="C380" s="44" t="s">
        <v>412</v>
      </c>
      <c r="D380" s="45">
        <v>901003</v>
      </c>
      <c r="E380" s="11"/>
      <c r="F380" s="11"/>
      <c r="G380" s="2"/>
      <c r="H380" s="11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x14ac:dyDescent="0.25" r="381" customHeight="1" ht="18">
      <c r="A381" s="2"/>
      <c r="B381" s="35"/>
      <c r="C381" s="44" t="s">
        <v>413</v>
      </c>
      <c r="D381" s="45">
        <v>901004</v>
      </c>
      <c r="E381" s="11"/>
      <c r="F381" s="11"/>
      <c r="G381" s="2"/>
      <c r="H381" s="11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x14ac:dyDescent="0.25" r="382" customHeight="1" ht="18">
      <c r="A382" s="2"/>
      <c r="B382" s="35"/>
      <c r="C382" s="44" t="s">
        <v>414</v>
      </c>
      <c r="D382" s="45">
        <v>901005</v>
      </c>
      <c r="E382" s="11"/>
      <c r="F382" s="11"/>
      <c r="G382" s="2"/>
      <c r="H382" s="11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x14ac:dyDescent="0.25" r="383" customHeight="1" ht="18">
      <c r="A383" s="2"/>
      <c r="B383" s="35"/>
      <c r="C383" s="44" t="s">
        <v>415</v>
      </c>
      <c r="D383" s="45">
        <v>901011</v>
      </c>
      <c r="E383" s="11"/>
      <c r="F383" s="11"/>
      <c r="G383" s="2"/>
      <c r="H383" s="11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x14ac:dyDescent="0.25" r="384" customHeight="1" ht="18">
      <c r="A384" s="2"/>
      <c r="B384" s="35"/>
      <c r="C384" s="44" t="s">
        <v>416</v>
      </c>
      <c r="D384" s="45">
        <v>901012</v>
      </c>
      <c r="E384" s="11"/>
      <c r="F384" s="11"/>
      <c r="G384" s="2"/>
      <c r="H384" s="11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x14ac:dyDescent="0.25" r="385" customHeight="1" ht="18">
      <c r="A385" s="2"/>
      <c r="B385" s="35"/>
      <c r="C385" s="44" t="s">
        <v>417</v>
      </c>
      <c r="D385" s="45">
        <v>901013</v>
      </c>
      <c r="E385" s="11"/>
      <c r="F385" s="11"/>
      <c r="G385" s="2"/>
      <c r="H385" s="11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x14ac:dyDescent="0.25" r="386" customHeight="1" ht="18">
      <c r="A386" s="2"/>
      <c r="B386" s="35"/>
      <c r="C386" s="44" t="s">
        <v>418</v>
      </c>
      <c r="D386" s="45">
        <v>901014</v>
      </c>
      <c r="E386" s="11"/>
      <c r="F386" s="11"/>
      <c r="G386" s="2"/>
      <c r="H386" s="11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x14ac:dyDescent="0.25" r="387" customHeight="1" ht="18">
      <c r="A387" s="2"/>
      <c r="B387" s="35"/>
      <c r="C387" s="44" t="s">
        <v>419</v>
      </c>
      <c r="D387" s="45">
        <v>902001</v>
      </c>
      <c r="E387" s="11"/>
      <c r="F387" s="11"/>
      <c r="G387" s="2"/>
      <c r="H387" s="11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x14ac:dyDescent="0.25" r="388" customHeight="1" ht="18">
      <c r="A388" s="2"/>
      <c r="B388" s="35"/>
      <c r="C388" s="44" t="s">
        <v>420</v>
      </c>
      <c r="D388" s="45">
        <v>902002</v>
      </c>
      <c r="E388" s="11"/>
      <c r="F388" s="11"/>
      <c r="G388" s="2"/>
      <c r="H388" s="11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x14ac:dyDescent="0.25" r="389" customHeight="1" ht="18">
      <c r="A389" s="2"/>
      <c r="B389" s="35"/>
      <c r="C389" s="44" t="s">
        <v>421</v>
      </c>
      <c r="D389" s="45">
        <v>902003</v>
      </c>
      <c r="E389" s="11"/>
      <c r="F389" s="11"/>
      <c r="G389" s="2"/>
      <c r="H389" s="11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x14ac:dyDescent="0.25" r="390" customHeight="1" ht="18">
      <c r="A390" s="2"/>
      <c r="B390" s="35"/>
      <c r="C390" s="44" t="s">
        <v>422</v>
      </c>
      <c r="D390" s="45">
        <v>124011</v>
      </c>
      <c r="E390" s="11"/>
      <c r="F390" s="11"/>
      <c r="G390" s="2"/>
      <c r="H390" s="11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x14ac:dyDescent="0.25" r="391" customHeight="1" ht="18">
      <c r="A391" s="2"/>
      <c r="B391" s="35"/>
      <c r="C391" s="44" t="s">
        <v>423</v>
      </c>
      <c r="D391" s="45">
        <v>124012</v>
      </c>
      <c r="E391" s="11"/>
      <c r="F391" s="11"/>
      <c r="G391" s="2"/>
      <c r="H391" s="11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x14ac:dyDescent="0.25" r="392" customHeight="1" ht="18">
      <c r="A392" s="2"/>
      <c r="B392" s="35"/>
      <c r="C392" s="44" t="s">
        <v>424</v>
      </c>
      <c r="D392" s="45">
        <v>124013</v>
      </c>
      <c r="E392" s="11"/>
      <c r="F392" s="11"/>
      <c r="G392" s="2"/>
      <c r="H392" s="11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x14ac:dyDescent="0.25" r="393" customHeight="1" ht="18">
      <c r="A393" s="2"/>
      <c r="B393" s="35"/>
      <c r="C393" s="44" t="s">
        <v>425</v>
      </c>
      <c r="D393" s="45">
        <v>124014</v>
      </c>
      <c r="E393" s="11"/>
      <c r="F393" s="11"/>
      <c r="G393" s="2"/>
      <c r="H393" s="11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x14ac:dyDescent="0.25" r="394" customHeight="1" ht="18">
      <c r="A394" s="2"/>
      <c r="B394" s="35"/>
      <c r="C394" s="44" t="s">
        <v>426</v>
      </c>
      <c r="D394" s="45">
        <v>124015</v>
      </c>
      <c r="E394" s="11"/>
      <c r="F394" s="11"/>
      <c r="G394" s="2"/>
      <c r="H394" s="11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x14ac:dyDescent="0.25" r="395" customHeight="1" ht="18">
      <c r="A395" s="2"/>
      <c r="B395" s="35"/>
      <c r="C395" s="44" t="s">
        <v>427</v>
      </c>
      <c r="D395" s="45">
        <v>124016</v>
      </c>
      <c r="E395" s="11"/>
      <c r="F395" s="11"/>
      <c r="G395" s="2"/>
      <c r="H395" s="11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x14ac:dyDescent="0.25" r="396" customHeight="1" ht="18">
      <c r="A396" s="2"/>
      <c r="B396" s="35"/>
      <c r="C396" s="44" t="s">
        <v>428</v>
      </c>
      <c r="D396" s="45">
        <v>124017</v>
      </c>
      <c r="E396" s="11"/>
      <c r="F396" s="11"/>
      <c r="G396" s="2"/>
      <c r="H396" s="11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x14ac:dyDescent="0.25" r="397" customHeight="1" ht="18">
      <c r="A397" s="2"/>
      <c r="B397" s="35"/>
      <c r="C397" s="44" t="s">
        <v>429</v>
      </c>
      <c r="D397" s="45">
        <v>124018</v>
      </c>
      <c r="E397" s="11"/>
      <c r="F397" s="11"/>
      <c r="G397" s="2"/>
      <c r="H397" s="11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x14ac:dyDescent="0.25" r="398" customHeight="1" ht="18">
      <c r="A398" s="2"/>
      <c r="B398" s="35"/>
      <c r="C398" s="44" t="s">
        <v>430</v>
      </c>
      <c r="D398" s="45">
        <v>124019</v>
      </c>
      <c r="E398" s="11"/>
      <c r="F398" s="11"/>
      <c r="G398" s="2"/>
      <c r="H398" s="11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x14ac:dyDescent="0.25" r="399" customHeight="1" ht="18">
      <c r="A399" s="2"/>
      <c r="B399" s="35"/>
      <c r="C399" s="44" t="s">
        <v>431</v>
      </c>
      <c r="D399" s="45">
        <v>124021</v>
      </c>
      <c r="E399" s="11"/>
      <c r="F399" s="11"/>
      <c r="G399" s="2"/>
      <c r="H399" s="11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x14ac:dyDescent="0.25" r="400" customHeight="1" ht="18">
      <c r="A400" s="2"/>
      <c r="B400" s="35"/>
      <c r="C400" s="44" t="s">
        <v>432</v>
      </c>
      <c r="D400" s="45">
        <v>124022</v>
      </c>
      <c r="E400" s="11"/>
      <c r="F400" s="11"/>
      <c r="G400" s="2"/>
      <c r="H400" s="11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x14ac:dyDescent="0.25" r="401" customHeight="1" ht="18">
      <c r="A401" s="2"/>
      <c r="B401" s="35"/>
      <c r="C401" s="44" t="s">
        <v>433</v>
      </c>
      <c r="D401" s="45">
        <v>124023</v>
      </c>
      <c r="E401" s="11"/>
      <c r="F401" s="11"/>
      <c r="G401" s="2"/>
      <c r="H401" s="11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x14ac:dyDescent="0.25" r="402" customHeight="1" ht="18">
      <c r="A402" s="2"/>
      <c r="B402" s="35"/>
      <c r="C402" s="44" t="s">
        <v>434</v>
      </c>
      <c r="D402" s="45">
        <v>124024</v>
      </c>
      <c r="E402" s="11"/>
      <c r="F402" s="11"/>
      <c r="G402" s="2"/>
      <c r="H402" s="11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x14ac:dyDescent="0.25" r="403" customHeight="1" ht="18">
      <c r="A403" s="2"/>
      <c r="B403" s="35"/>
      <c r="C403" s="44" t="s">
        <v>435</v>
      </c>
      <c r="D403" s="45">
        <v>124025</v>
      </c>
      <c r="E403" s="11"/>
      <c r="F403" s="11"/>
      <c r="G403" s="2"/>
      <c r="H403" s="11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x14ac:dyDescent="0.25" r="404" customHeight="1" ht="18">
      <c r="A404" s="2"/>
      <c r="B404" s="35"/>
      <c r="C404" s="44" t="s">
        <v>436</v>
      </c>
      <c r="D404" s="45">
        <v>124026</v>
      </c>
      <c r="E404" s="11"/>
      <c r="F404" s="11"/>
      <c r="G404" s="2"/>
      <c r="H404" s="11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x14ac:dyDescent="0.25" r="405" customHeight="1" ht="18">
      <c r="A405" s="2"/>
      <c r="B405" s="35"/>
      <c r="C405" s="44" t="s">
        <v>437</v>
      </c>
      <c r="D405" s="45">
        <v>124027</v>
      </c>
      <c r="E405" s="11"/>
      <c r="F405" s="11"/>
      <c r="G405" s="2"/>
      <c r="H405" s="11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x14ac:dyDescent="0.25" r="406" customHeight="1" ht="18">
      <c r="A406" s="2"/>
      <c r="B406" s="35"/>
      <c r="C406" s="44" t="s">
        <v>438</v>
      </c>
      <c r="D406" s="45">
        <v>124028</v>
      </c>
      <c r="E406" s="11"/>
      <c r="F406" s="11"/>
      <c r="G406" s="2"/>
      <c r="H406" s="11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x14ac:dyDescent="0.25" r="407" customHeight="1" ht="18">
      <c r="A407" s="2"/>
      <c r="B407" s="35"/>
      <c r="C407" s="44" t="s">
        <v>439</v>
      </c>
      <c r="D407" s="45">
        <v>124029</v>
      </c>
      <c r="E407" s="11"/>
      <c r="F407" s="11"/>
      <c r="G407" s="2"/>
      <c r="H407" s="11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x14ac:dyDescent="0.25" r="408" customHeight="1" ht="18">
      <c r="A408" s="1"/>
      <c r="B408" s="1"/>
      <c r="C408" s="1"/>
      <c r="D408" s="6"/>
      <c r="E408" s="11"/>
      <c r="F408" s="11"/>
      <c r="G408" s="2"/>
      <c r="H408" s="11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x14ac:dyDescent="0.25" r="409" customHeight="1" ht="18">
      <c r="A409" s="1"/>
      <c r="B409" s="1"/>
      <c r="C409" s="1"/>
      <c r="D409" s="6"/>
      <c r="E409" s="11"/>
      <c r="F409" s="11"/>
      <c r="G409" s="2"/>
      <c r="H409" s="11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x14ac:dyDescent="0.25" r="410" customHeight="1" ht="18">
      <c r="A410" s="1"/>
      <c r="B410" s="1"/>
      <c r="C410" s="1"/>
      <c r="D410" s="6"/>
      <c r="E410" s="11"/>
      <c r="F410" s="11"/>
      <c r="G410" s="2"/>
      <c r="H410" s="11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</sheetData>
  <mergeCells count="5">
    <mergeCell ref="B4:F4"/>
    <mergeCell ref="B6:B51"/>
    <mergeCell ref="B52:B75"/>
    <mergeCell ref="B76:B123"/>
    <mergeCell ref="B124:B4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00"/>
  <sheetViews>
    <sheetView workbookViewId="0"/>
  </sheetViews>
  <sheetFormatPr defaultRowHeight="15" x14ac:dyDescent="0.25"/>
  <cols>
    <col min="1" max="1" style="5" width="14.005" customWidth="1" bestFit="1"/>
    <col min="2" max="2" style="5" width="14.005" customWidth="1" bestFit="1"/>
    <col min="3" max="3" style="5" width="23.005" customWidth="1" bestFit="1"/>
    <col min="4" max="4" style="5" width="47.005" customWidth="1" bestFit="1"/>
    <col min="5" max="5" style="5" width="14.005" customWidth="1" bestFit="1"/>
    <col min="6" max="6" style="5" width="14.005" customWidth="1" bestFit="1"/>
    <col min="7" max="7" style="5" width="14.005" customWidth="1" bestFit="1"/>
    <col min="8" max="8" style="5" width="14.005" customWidth="1" bestFit="1"/>
    <col min="9" max="9" style="5" width="14.005" customWidth="1" bestFit="1"/>
    <col min="10" max="10" style="5" width="14.005" customWidth="1" bestFit="1"/>
    <col min="11" max="11" style="5" width="14.005" customWidth="1" bestFit="1"/>
    <col min="12" max="12" style="5" width="14.005" customWidth="1" bestFit="1"/>
    <col min="13" max="13" style="5" width="14.005" customWidth="1" bestFit="1"/>
    <col min="14" max="14" style="5" width="14.005" customWidth="1" bestFit="1"/>
    <col min="15" max="15" style="5" width="14.005" customWidth="1" bestFit="1"/>
    <col min="16" max="16" style="5" width="14.005" customWidth="1" bestFit="1"/>
    <col min="17" max="17" style="5" width="14.005" customWidth="1" bestFit="1"/>
    <col min="18" max="18" style="5" width="14.005" customWidth="1" bestFit="1"/>
    <col min="19" max="19" style="5" width="14.005" customWidth="1" bestFit="1"/>
    <col min="20" max="20" style="5" width="14.005" customWidth="1" bestFit="1"/>
    <col min="21" max="21" style="5" width="14.005" customWidth="1" bestFit="1"/>
    <col min="22" max="22" style="5" width="14.005" customWidth="1" bestFit="1"/>
    <col min="23" max="23" style="5" width="14.005" customWidth="1" bestFit="1"/>
    <col min="24" max="24" style="5" width="14.005" customWidth="1" bestFit="1"/>
    <col min="25" max="25" style="5" width="14.005" customWidth="1" bestFit="1"/>
    <col min="26" max="26" style="5" width="14.005" customWidth="1" bestFit="1"/>
  </cols>
  <sheetData>
    <row x14ac:dyDescent="0.25" r="1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">
      <c r="A8" s="1"/>
      <c r="B8" s="2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">
      <c r="A9" s="1"/>
      <c r="B9" s="1"/>
      <c r="C9" s="2" t="s">
        <v>1</v>
      </c>
      <c r="D9" s="3" t="s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">
      <c r="A10" s="1"/>
      <c r="B10" s="1"/>
      <c r="C10" s="2" t="s">
        <v>3</v>
      </c>
      <c r="D10" s="2" t="s">
        <v>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">
      <c r="A13" s="1"/>
      <c r="B13" s="2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">
      <c r="A14" s="1"/>
      <c r="B14" s="1"/>
      <c r="C14" s="2" t="s">
        <v>6</v>
      </c>
      <c r="D14" s="4" t="s">
        <v>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">
      <c r="A15" s="1"/>
      <c r="B15" s="1"/>
      <c r="C15" s="2" t="s">
        <v>8</v>
      </c>
      <c r="D15" s="2" t="s">
        <v>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">
      <c r="A17" s="1"/>
      <c r="B17" s="1"/>
      <c r="C17" s="2" t="s">
        <v>10</v>
      </c>
      <c r="D17" s="4" t="s">
        <v>11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">
      <c r="A18" s="1"/>
      <c r="B18" s="1"/>
      <c r="C18" s="2" t="s">
        <v>12</v>
      </c>
      <c r="D18" s="2" t="s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1_#用户ID及公共事件属性</vt:lpstr>
      <vt:lpstr>2_#事件数据</vt:lpstr>
      <vt:lpstr>3_#用户数据</vt:lpstr>
      <vt:lpstr>4_#客户端埋点</vt:lpstr>
      <vt:lpstr>接入参数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2024-08-16T03:02:53.616Z</dcterms:created>
  <dcterms:modified xsi:type="dcterms:W3CDTF">2024-08-16T03:02:53.616Z</dcterms:modified>
</cp:coreProperties>
</file>